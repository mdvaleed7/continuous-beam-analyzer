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40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3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E:\F backup\Arastu Sir\Tools\Excel Applications\"/>
    </mc:Choice>
  </mc:AlternateContent>
  <xr:revisionPtr revIDLastSave="0" documentId="13_ncr:81_{7CA10C19-B69D-4F39-B85C-96F5CB09D6CC}" xr6:coauthVersionLast="47" xr6:coauthVersionMax="47" xr10:uidLastSave="{00000000-0000-0000-0000-000000000000}"/>
  <bookViews>
    <workbookView xWindow="-108" yWindow="-108" windowWidth="23256" windowHeight="12456" tabRatio="801" xr2:uid="{00000000-000D-0000-FFFF-FFFF00000000}"/>
  </bookViews>
  <sheets>
    <sheet name="Design of Slab" sheetId="1" r:id="rId1"/>
    <sheet name="Default values" sheetId="2" r:id="rId2"/>
    <sheet name="Costing" sheetId="3" r:id="rId3"/>
    <sheet name="Support Index" sheetId="4" r:id="rId4"/>
    <sheet name="Checks" sheetId="5" r:id="rId5"/>
    <sheet name="ShearCheck" sheetId="6" r:id="rId6"/>
    <sheet name="Crackwidth" sheetId="7" r:id="rId7"/>
    <sheet name="Actual deflection" sheetId="8" r:id="rId8"/>
    <sheet name="Deflection control" sheetId="9" r:id="rId9"/>
    <sheet name="Backup cal for Mul &amp; Xul" sheetId="10" r:id="rId10"/>
    <sheet name="Moment Coeff" sheetId="11" r:id="rId11"/>
    <sheet name="Table-19" sheetId="12" r:id="rId12"/>
  </sheets>
  <definedNames>
    <definedName name="actualshearstress">ShearCheck!$I$13</definedName>
    <definedName name="Ast">'Deflection control'!$E$33</definedName>
    <definedName name="Ast_ln_span">'Backup cal for Mul &amp; Xul'!$H$49</definedName>
    <definedName name="Ast_ln_supp">'Backup cal for Mul &amp; Xul'!$I$49</definedName>
    <definedName name="Ast_sh_span">'Backup cal for Mul &amp; Xul'!$F$49</definedName>
    <definedName name="Ast_sh_supp">'Backup cal for Mul &amp; Xul'!$G$49</definedName>
    <definedName name="astmin">'Design of Slab'!$C$34</definedName>
    <definedName name="b">'Backup cal for Mul &amp; Xul'!$D$4</definedName>
    <definedName name="Check">'Backup cal for Mul &amp; Xul'!$B$35</definedName>
    <definedName name="Condition">'Support Index'!$H$25</definedName>
    <definedName name="cover">'Default values'!$E$10</definedName>
    <definedName name="d">'Backup cal for Mul &amp; Xul'!$D$20</definedName>
    <definedName name="deff">'Backup cal for Mul &amp; Xul'!$D$20</definedName>
    <definedName name="deff_1">'Backup cal for Mul &amp; Xul'!$F$41</definedName>
    <definedName name="deff_2">'Backup cal for Mul &amp; Xul'!$G$41</definedName>
    <definedName name="deff_3">'Backup cal for Mul &amp; Xul'!$H$41</definedName>
    <definedName name="deff_4">'Backup cal for Mul &amp; Xul'!$I$41</definedName>
    <definedName name="density">'Default values'!$E$11</definedName>
    <definedName name="DL">'Design of Slab'!$D$22</definedName>
    <definedName name="dreqd">'Backup cal for Mul &amp; Xul'!$E$19</definedName>
    <definedName name="Ec">'Default values'!$E$9</definedName>
    <definedName name="Es">'Default values'!$E$8</definedName>
    <definedName name="fck">'Design of Slab'!$D$14</definedName>
    <definedName name="fs">'Deflection control'!$E$32</definedName>
    <definedName name="fy">'Design of Slab'!$D$15</definedName>
    <definedName name="Icr">'Actual deflection'!$K$16</definedName>
    <definedName name="Ie">'Actual deflection'!$K$24</definedName>
    <definedName name="Ig">'Actual deflection'!$K$17</definedName>
    <definedName name="K">ShearCheck!$I$23</definedName>
    <definedName name="LL">'Design of Slab'!$D$23</definedName>
    <definedName name="Lx">'Design of Slab'!$D$8</definedName>
    <definedName name="Ly">'Design of Slab'!$D$7</definedName>
    <definedName name="m">'Default values'!$E$12</definedName>
    <definedName name="MF">'Deflection control'!$E$34</definedName>
    <definedName name="Mu_ln_span">'Design of Slab'!$E$31</definedName>
    <definedName name="Mu_ln_supp">'Design of Slab'!$F$31</definedName>
    <definedName name="Mu_sh_span">'Design of Slab'!$C$31</definedName>
    <definedName name="Mu_sh_supp">'Design of Slab'!$D$31</definedName>
    <definedName name="Mul">'Backup cal for Mul &amp; Xul'!$B$33</definedName>
    <definedName name="Mumax">'Backup cal for Mul &amp; Xul'!$D$3</definedName>
    <definedName name="_xlnm.Print_Area" localSheetId="0">'Design of Slab'!$A$1:$J$51</definedName>
    <definedName name="pt_ln_sp">ShearCheck!$F$21</definedName>
    <definedName name="pt_ln_sup">ShearCheck!$G$21</definedName>
    <definedName name="pt_s_sp">ShearCheck!$D$21</definedName>
    <definedName name="pt_s_sup">ShearCheck!$E$21</definedName>
    <definedName name="ratio">'Design of Slab'!$J$13</definedName>
    <definedName name="Remarks">'Backup cal for Mul &amp; Xul'!$B$34</definedName>
    <definedName name="shearpt">ShearCheck!$D$22</definedName>
    <definedName name="spanbydepth">'Deflection control'!$E$36</definedName>
    <definedName name="T">'Design of Slab'!$D$9</definedName>
    <definedName name="Tauc">'Table-19'!$K$9</definedName>
    <definedName name="Vu">ShearCheck!$I$11</definedName>
    <definedName name="w">'Design of Slab'!$D$24</definedName>
    <definedName name="Wult">'Design of Slab'!$D$25</definedName>
    <definedName name="xu">'Backup cal for Mul &amp; Xul'!$F$48</definedName>
    <definedName name="xul">'Backup cal for Mul &amp; Xul'!$D$31</definedName>
    <definedName name="xul_coeff">'Backup cal for Mul &amp; Xul'!$D$30</definedName>
    <definedName name="Z_3E488D02_432F_45E5_90FE_5CD6FBA7363A_.wvu.PrintArea" localSheetId="0" hidden="1">'Design of Slab'!$A$1:$J$51</definedName>
    <definedName name="Z_406DF1FF_9BFC_4168_AE00_7162E8A7C8EF_.wvu.PrintArea" localSheetId="0" hidden="1">'Design of Slab'!$A$3:$J$51</definedName>
    <definedName name="Z_473AD2C1_50BF_11D4_AB98_94419A57BB4E_.wvu.PrintArea" localSheetId="0" hidden="1">'Design of Slab'!$A$4:$J$46</definedName>
    <definedName name="Z_4C8449F4_FC56_4876_869E_F955C2C5C3AD_.wvu.PrintArea" localSheetId="0" hidden="1">'Design of Slab'!$A$1:$J$51</definedName>
    <definedName name="Z_6A6F7507_5F1B_4B90_A3F8_107D205DF2BA_.wvu.PrintArea" localSheetId="0" hidden="1">'Design of Slab'!$A$1:$J$51</definedName>
    <definedName name="Z_8CD552DE_766B_42EA_A3A9_EF771D2E49CF_.wvu.PrintArea" localSheetId="0" hidden="1">'Design of Slab'!$A$1:$J$51</definedName>
    <definedName name="Z_98368B2C_A6FC_4203_B15D_14B77BE18A81_.wvu.PrintArea" localSheetId="0" hidden="1">'Design of Slab'!$A$3:$J$51</definedName>
    <definedName name="Z_9CE232CD_A92E_403C_887B_19AF1B853CD5_.wvu.PrintArea" localSheetId="0" hidden="1">'Design of Slab'!$A$1:$J$51</definedName>
  </definedNames>
  <calcPr calcId="191029"/>
  <customWorkbookViews>
    <customWorkbookView name="Mohammad Arastu - Personal View" guid="{3E488D02-432F-45E5-90FE-5CD6FBA7363A}" mergeInterval="0" personalView="1" maximized="1" xWindow="3832" yWindow="-8" windowWidth="1936" windowHeight="1048" tabRatio="801" activeSheetId="1"/>
    <customWorkbookView name="user194 - Personal View" guid="{4C8449F4-FC56-4876-869E-F955C2C5C3AD}" mergeInterval="0" personalView="1" maximized="1" xWindow="-8" yWindow="-8" windowWidth="1936" windowHeight="1056" tabRatio="801" activeSheetId="1"/>
    <customWorkbookView name="Amit Kumar - Personal View" guid="{473AD2C1-50BF-11D4-AB98-94419A57BB4E}" mergeInterval="0" personalView="1" maximized="1" windowWidth="1020" windowHeight="605" activeSheetId="1"/>
    <customWorkbookView name="user224 - Personal View" guid="{98368B2C-A6FC-4203-B15D-14B77BE18A81}" mergeInterval="0" personalView="1" maximized="1" xWindow="-8" yWindow="-8" windowWidth="1936" windowHeight="1056" tabRatio="801" activeSheetId="8"/>
    <customWorkbookView name="user223 - Personal View" guid="{406DF1FF-9BFC-4168-AE00-7162E8A7C8EF}" mergeInterval="0" personalView="1" maximized="1" xWindow="-8" yWindow="-8" windowWidth="1936" windowHeight="1056" tabRatio="801" activeSheetId="1"/>
    <customWorkbookView name="GOEL Anshika - Personal View" guid="{8CD552DE-766B-42EA-A3A9-EF771D2E49CF}" mergeInterval="0" personalView="1" maximized="1" xWindow="-8" yWindow="-8" windowWidth="1936" windowHeight="1056" tabRatio="801" activeSheetId="1"/>
    <customWorkbookView name="Arastu - Personal View" guid="{9CE232CD-A92E-403C-887B-19AF1B853CD5}" mergeInterval="0" personalView="1" maximized="1" xWindow="3832" yWindow="122" windowWidth="1936" windowHeight="1048" tabRatio="771" activeSheetId="1"/>
    <customWorkbookView name="Hp - Personal View" guid="{6A6F7507-5F1B-4B90-A3F8-107D205DF2BA}" mergeInterval="0" personalView="1" minimized="1" windowWidth="0" windowHeight="0" tabRatio="80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6" i="2" l="1"/>
  <c r="B7" i="12"/>
  <c r="B8" i="12" s="1"/>
  <c r="B9" i="12" s="1"/>
  <c r="E11" i="2"/>
  <c r="D22" i="1" s="1"/>
  <c r="D24" i="1" s="1"/>
  <c r="D25" i="1" s="1"/>
  <c r="I9" i="6"/>
  <c r="H6" i="6"/>
  <c r="G38" i="10"/>
  <c r="G40" i="10" s="1"/>
  <c r="E10" i="2"/>
  <c r="E18" i="6"/>
  <c r="E19" i="6"/>
  <c r="J13" i="1"/>
  <c r="C2" i="11" s="1"/>
  <c r="G3" i="4"/>
  <c r="G7" i="4"/>
  <c r="G8" i="4"/>
  <c r="G9" i="4"/>
  <c r="G10" i="4"/>
  <c r="G11" i="4"/>
  <c r="G12" i="4"/>
  <c r="G13" i="4"/>
  <c r="G14" i="4"/>
  <c r="G15" i="4"/>
  <c r="G16" i="4"/>
  <c r="G17" i="4"/>
  <c r="G21" i="4"/>
  <c r="G22" i="4"/>
  <c r="G23" i="4"/>
  <c r="G24" i="4"/>
  <c r="A12" i="11"/>
  <c r="A34" i="11" s="1"/>
  <c r="I12" i="11"/>
  <c r="J12" i="11"/>
  <c r="L12" i="11"/>
  <c r="M12" i="11"/>
  <c r="A13" i="11"/>
  <c r="I13" i="11"/>
  <c r="J13" i="11"/>
  <c r="L13" i="11"/>
  <c r="M13" i="11"/>
  <c r="A14" i="11"/>
  <c r="A36" i="11" s="1"/>
  <c r="I14" i="11"/>
  <c r="J14" i="11"/>
  <c r="L14" i="11"/>
  <c r="M14" i="11"/>
  <c r="A15" i="11"/>
  <c r="A37" i="11" s="1"/>
  <c r="I15" i="11"/>
  <c r="J15" i="11"/>
  <c r="L15" i="11"/>
  <c r="M15" i="11"/>
  <c r="A16" i="11"/>
  <c r="A38" i="11" s="1"/>
  <c r="I16" i="11"/>
  <c r="J16" i="11"/>
  <c r="L16" i="11"/>
  <c r="M16" i="11"/>
  <c r="A20" i="11"/>
  <c r="A42" i="11" s="1"/>
  <c r="I20" i="11"/>
  <c r="J20" i="11"/>
  <c r="L20" i="11"/>
  <c r="M20" i="11"/>
  <c r="A22" i="11"/>
  <c r="A44" i="11" s="1"/>
  <c r="I22" i="11"/>
  <c r="J22" i="11"/>
  <c r="L22" i="11"/>
  <c r="M22" i="11"/>
  <c r="A24" i="11"/>
  <c r="I24" i="11"/>
  <c r="J24" i="11"/>
  <c r="L24" i="11"/>
  <c r="M24" i="11"/>
  <c r="A26" i="11"/>
  <c r="A48" i="11" s="1"/>
  <c r="I26" i="11"/>
  <c r="J26" i="11"/>
  <c r="L26" i="11"/>
  <c r="M26" i="11"/>
  <c r="I34" i="11"/>
  <c r="J34" i="11"/>
  <c r="L34" i="11"/>
  <c r="M34" i="11"/>
  <c r="A35" i="11"/>
  <c r="I35" i="11"/>
  <c r="J35" i="11"/>
  <c r="L35" i="11"/>
  <c r="M35" i="11"/>
  <c r="I36" i="11"/>
  <c r="J36" i="11"/>
  <c r="L36" i="11"/>
  <c r="M36" i="11"/>
  <c r="I37" i="11"/>
  <c r="J37" i="11"/>
  <c r="L37" i="11"/>
  <c r="M37" i="11"/>
  <c r="I38" i="11"/>
  <c r="J38" i="11"/>
  <c r="L38" i="11"/>
  <c r="M38" i="11"/>
  <c r="I42" i="11"/>
  <c r="J42" i="11"/>
  <c r="L42" i="11"/>
  <c r="M42" i="11"/>
  <c r="I44" i="11"/>
  <c r="J44" i="11"/>
  <c r="L44" i="11"/>
  <c r="M44" i="11"/>
  <c r="A46" i="11"/>
  <c r="I46" i="11"/>
  <c r="J46" i="11"/>
  <c r="L46" i="11"/>
  <c r="M46" i="11"/>
  <c r="I48" i="11"/>
  <c r="J48" i="11"/>
  <c r="L48" i="11"/>
  <c r="M48" i="11"/>
  <c r="D5" i="10"/>
  <c r="D6" i="10"/>
  <c r="E8" i="2"/>
  <c r="D7" i="10" s="1"/>
  <c r="E7" i="2"/>
  <c r="D15" i="1"/>
  <c r="D8" i="10" s="1"/>
  <c r="I23" i="6"/>
  <c r="F38" i="10"/>
  <c r="F40" i="10" s="1"/>
  <c r="H38" i="10"/>
  <c r="H40" i="10" s="1"/>
  <c r="I38" i="10"/>
  <c r="I40" i="10" s="1"/>
  <c r="I41" i="10" s="1"/>
  <c r="D3" i="9"/>
  <c r="D4" i="9"/>
  <c r="E28" i="9"/>
  <c r="E27" i="9"/>
  <c r="F27" i="9"/>
  <c r="G27" i="9"/>
  <c r="H27" i="9"/>
  <c r="F28" i="9"/>
  <c r="G28" i="9"/>
  <c r="H28" i="9"/>
  <c r="T4" i="8"/>
  <c r="T5" i="8"/>
  <c r="T7" i="8" s="1"/>
  <c r="T6" i="8"/>
  <c r="U7" i="8"/>
  <c r="T8" i="8"/>
  <c r="O12" i="8"/>
  <c r="T12" i="8"/>
  <c r="U12" i="8"/>
  <c r="D19" i="6"/>
  <c r="D18" i="6"/>
  <c r="T14" i="8"/>
  <c r="U14" i="8"/>
  <c r="T36" i="8" s="1"/>
  <c r="O15" i="8"/>
  <c r="K20" i="8"/>
  <c r="T16" i="8"/>
  <c r="U16" i="8"/>
  <c r="T18" i="8"/>
  <c r="U18" i="8"/>
  <c r="T40" i="8" s="1"/>
  <c r="T26" i="8"/>
  <c r="T27" i="8"/>
  <c r="T28" i="8"/>
  <c r="T29" i="8"/>
  <c r="T30" i="8"/>
  <c r="T34" i="8"/>
  <c r="T38" i="8"/>
  <c r="B7" i="7"/>
  <c r="C19" i="7"/>
  <c r="D19" i="7"/>
  <c r="D3" i="6"/>
  <c r="I3" i="6"/>
  <c r="D4" i="6"/>
  <c r="K5" i="6"/>
  <c r="P8" i="6"/>
  <c r="Q8" i="6"/>
  <c r="F18" i="6"/>
  <c r="G18" i="6"/>
  <c r="F19" i="6"/>
  <c r="G19" i="6"/>
  <c r="C38" i="1"/>
  <c r="C3" i="4"/>
  <c r="L13" i="4" s="1"/>
  <c r="D3" i="4"/>
  <c r="L14" i="4" s="1"/>
  <c r="E3" i="4"/>
  <c r="L15" i="4" s="1"/>
  <c r="F3" i="4"/>
  <c r="L16" i="4" s="1"/>
  <c r="G18" i="4"/>
  <c r="D3" i="3"/>
  <c r="F18" i="3" s="1"/>
  <c r="I18" i="3" s="1"/>
  <c r="D4" i="3"/>
  <c r="F19" i="3" s="1"/>
  <c r="I19" i="3" s="1"/>
  <c r="D8" i="3"/>
  <c r="D12" i="3" s="1"/>
  <c r="E8" i="3"/>
  <c r="E12" i="3" s="1"/>
  <c r="G8" i="3"/>
  <c r="G12" i="3" s="1"/>
  <c r="H8" i="3"/>
  <c r="H12" i="3" s="1"/>
  <c r="D9" i="3"/>
  <c r="D11" i="3" s="1"/>
  <c r="E9" i="3"/>
  <c r="E11" i="3" s="1"/>
  <c r="G9" i="3"/>
  <c r="G11" i="3" s="1"/>
  <c r="H9" i="3"/>
  <c r="H11" i="3" s="1"/>
  <c r="D10" i="3"/>
  <c r="E10" i="3"/>
  <c r="F10" i="3"/>
  <c r="G10" i="3"/>
  <c r="H10" i="3"/>
  <c r="I10" i="3"/>
  <c r="F12" i="3"/>
  <c r="I12" i="3"/>
  <c r="I2" i="1"/>
  <c r="I23" i="1"/>
  <c r="I25" i="1"/>
  <c r="G31" i="1"/>
  <c r="I31" i="1"/>
  <c r="J32" i="1"/>
  <c r="I34" i="1"/>
  <c r="G37" i="1"/>
  <c r="H48" i="1"/>
  <c r="H49" i="1"/>
  <c r="G20" i="6" l="1"/>
  <c r="G21" i="6" s="1"/>
  <c r="F29" i="9"/>
  <c r="D16" i="1"/>
  <c r="G41" i="10"/>
  <c r="F41" i="10"/>
  <c r="D20" i="10" s="1"/>
  <c r="D30" i="10"/>
  <c r="G14" i="10" s="1"/>
  <c r="B10" i="12"/>
  <c r="H10" i="4"/>
  <c r="D9" i="10"/>
  <c r="K6" i="12"/>
  <c r="K18" i="8"/>
  <c r="D23" i="6"/>
  <c r="E9" i="2"/>
  <c r="K7" i="12"/>
  <c r="G29" i="9"/>
  <c r="D20" i="6"/>
  <c r="O13" i="8" s="1"/>
  <c r="H15" i="4"/>
  <c r="H23" i="4"/>
  <c r="H3" i="4"/>
  <c r="I3" i="4" s="1"/>
  <c r="H7" i="4"/>
  <c r="H9" i="4"/>
  <c r="H17" i="4"/>
  <c r="H8" i="4"/>
  <c r="H21" i="4"/>
  <c r="H11" i="4"/>
  <c r="H29" i="9"/>
  <c r="E29" i="9"/>
  <c r="E33" i="9" s="1"/>
  <c r="E20" i="6"/>
  <c r="E14" i="10"/>
  <c r="G13" i="3"/>
  <c r="D13" i="3"/>
  <c r="F20" i="6"/>
  <c r="L17" i="4"/>
  <c r="D7" i="9"/>
  <c r="A26" i="1"/>
  <c r="H13" i="3"/>
  <c r="D5" i="9"/>
  <c r="H41" i="10"/>
  <c r="E13" i="3"/>
  <c r="D12" i="6"/>
  <c r="D13" i="6" s="1"/>
  <c r="D5" i="6"/>
  <c r="D8" i="6"/>
  <c r="D9" i="6" s="1"/>
  <c r="C3" i="11"/>
  <c r="E21" i="6" l="1"/>
  <c r="F9" i="3"/>
  <c r="F11" i="3" s="1"/>
  <c r="F13" i="3" s="1"/>
  <c r="J21" i="1"/>
  <c r="I9" i="3"/>
  <c r="I11" i="3" s="1"/>
  <c r="I13" i="3" s="1"/>
  <c r="C39" i="1"/>
  <c r="F39" i="1"/>
  <c r="D31" i="10"/>
  <c r="B33" i="10" s="1"/>
  <c r="E39" i="1"/>
  <c r="D39" i="1"/>
  <c r="C34" i="1"/>
  <c r="G45" i="1"/>
  <c r="D2" i="6"/>
  <c r="B11" i="12"/>
  <c r="D4" i="7"/>
  <c r="F14" i="8"/>
  <c r="B40" i="8"/>
  <c r="E12" i="2"/>
  <c r="O14" i="8" s="1"/>
  <c r="O16" i="8" s="1"/>
  <c r="H19" i="4"/>
  <c r="H20" i="4" s="1"/>
  <c r="D21" i="6"/>
  <c r="B9" i="7" s="1"/>
  <c r="F21" i="6"/>
  <c r="I11" i="6"/>
  <c r="I13" i="6" s="1"/>
  <c r="J44" i="1" s="1"/>
  <c r="E7" i="8"/>
  <c r="E8" i="8" s="1"/>
  <c r="E9" i="8" s="1"/>
  <c r="D5" i="7" l="1"/>
  <c r="B13" i="7"/>
  <c r="J13" i="3"/>
  <c r="J14" i="3" s="1"/>
  <c r="J49" i="1" s="1"/>
  <c r="B12" i="12"/>
  <c r="H25" i="4"/>
  <c r="E16" i="10" s="1"/>
  <c r="E17" i="10" s="1"/>
  <c r="K13" i="8"/>
  <c r="K14" i="8"/>
  <c r="K28" i="8" s="1"/>
  <c r="K30" i="8" s="1"/>
  <c r="K32" i="8" s="1"/>
  <c r="O17" i="8"/>
  <c r="O18" i="8" s="1"/>
  <c r="K17" i="8" s="1"/>
  <c r="K21" i="8" s="1"/>
  <c r="D22" i="6"/>
  <c r="K8" i="12" s="1"/>
  <c r="J43" i="1"/>
  <c r="C15" i="7" l="1"/>
  <c r="B19" i="7"/>
  <c r="B20" i="7"/>
  <c r="F20" i="7" s="1"/>
  <c r="K15" i="8"/>
  <c r="K16" i="8" s="1"/>
  <c r="F19" i="7"/>
  <c r="F20" i="3"/>
  <c r="I20" i="3" s="1"/>
  <c r="I21" i="3" s="1"/>
  <c r="I22" i="3" s="1"/>
  <c r="J48" i="1" s="1"/>
  <c r="B13" i="12"/>
  <c r="H26" i="4"/>
  <c r="G20" i="1" s="1"/>
  <c r="A18" i="8" s="1"/>
  <c r="T43" i="8"/>
  <c r="T44" i="8" s="1"/>
  <c r="K29" i="8" s="1"/>
  <c r="K33" i="8" s="1"/>
  <c r="E29" i="8" s="1"/>
  <c r="E49" i="1" s="1"/>
  <c r="G19" i="1"/>
  <c r="C4" i="11" s="1"/>
  <c r="T21" i="8"/>
  <c r="T22" i="8" s="1"/>
  <c r="D6" i="9"/>
  <c r="U21" i="8"/>
  <c r="U22" i="8" s="1"/>
  <c r="K23" i="8" l="1"/>
  <c r="D20" i="7"/>
  <c r="C20" i="7"/>
  <c r="B14" i="12"/>
  <c r="I24" i="1"/>
  <c r="I5" i="11"/>
  <c r="F30" i="1" s="1"/>
  <c r="F31" i="1" s="1"/>
  <c r="I42" i="10" s="1"/>
  <c r="I44" i="10" s="1"/>
  <c r="F5" i="11"/>
  <c r="C30" i="1" s="1"/>
  <c r="C31" i="1" s="1"/>
  <c r="G5" i="11"/>
  <c r="H5" i="11"/>
  <c r="E30" i="1" s="1"/>
  <c r="E31" i="1" s="1"/>
  <c r="H42" i="10" s="1"/>
  <c r="H44" i="10" s="1"/>
  <c r="D30" i="1" l="1"/>
  <c r="D31" i="1" s="1"/>
  <c r="B15" i="12"/>
  <c r="I46" i="10"/>
  <c r="I45" i="10"/>
  <c r="F42" i="10"/>
  <c r="F44" i="10" s="1"/>
  <c r="K22" i="8"/>
  <c r="K24" i="8" s="1"/>
  <c r="E15" i="8" s="1"/>
  <c r="E21" i="8" s="1"/>
  <c r="B45" i="8" s="1"/>
  <c r="H46" i="10"/>
  <c r="H45" i="10"/>
  <c r="G42" i="10" l="1"/>
  <c r="G44" i="10" s="1"/>
  <c r="D3" i="10"/>
  <c r="D4" i="5" s="1"/>
  <c r="E4" i="5" s="1"/>
  <c r="D3" i="7"/>
  <c r="C17" i="7" s="1"/>
  <c r="E20" i="7" s="1"/>
  <c r="C23" i="7" s="1"/>
  <c r="B16" i="12"/>
  <c r="E15" i="12" s="1"/>
  <c r="D15" i="12"/>
  <c r="H15" i="12"/>
  <c r="I47" i="10"/>
  <c r="I48" i="10" s="1"/>
  <c r="F45" i="10"/>
  <c r="F46" i="10"/>
  <c r="H47" i="10"/>
  <c r="H48" i="10" s="1"/>
  <c r="E47" i="1"/>
  <c r="B41" i="8"/>
  <c r="B47" i="8" s="1"/>
  <c r="B49" i="8" s="1"/>
  <c r="B53" i="8" s="1"/>
  <c r="C15" i="12" l="1"/>
  <c r="E19" i="7"/>
  <c r="C22" i="7" s="1"/>
  <c r="B24" i="7" s="1"/>
  <c r="F24" i="7" s="1"/>
  <c r="B34" i="10"/>
  <c r="A32" i="1" s="1"/>
  <c r="B35" i="10"/>
  <c r="H49" i="10" s="1"/>
  <c r="E15" i="10"/>
  <c r="G45" i="10"/>
  <c r="G46" i="10"/>
  <c r="G15" i="12"/>
  <c r="F7" i="12"/>
  <c r="G8" i="12"/>
  <c r="G7" i="12"/>
  <c r="E8" i="12"/>
  <c r="C7" i="12"/>
  <c r="D8" i="12"/>
  <c r="C8" i="12"/>
  <c r="E7" i="12"/>
  <c r="B17" i="12"/>
  <c r="H7" i="12"/>
  <c r="H8" i="12"/>
  <c r="D7" i="12"/>
  <c r="F8" i="12"/>
  <c r="D9" i="12"/>
  <c r="H9" i="12"/>
  <c r="C9" i="12"/>
  <c r="E9" i="12"/>
  <c r="G9" i="12"/>
  <c r="F9" i="12"/>
  <c r="E10" i="12"/>
  <c r="C10" i="12"/>
  <c r="F10" i="12"/>
  <c r="D10" i="12"/>
  <c r="H10" i="12"/>
  <c r="G10" i="12"/>
  <c r="G11" i="12"/>
  <c r="D11" i="12"/>
  <c r="E11" i="12"/>
  <c r="H11" i="12"/>
  <c r="C11" i="12"/>
  <c r="F11" i="12"/>
  <c r="H12" i="12"/>
  <c r="F12" i="12"/>
  <c r="G12" i="12"/>
  <c r="D12" i="12"/>
  <c r="C12" i="12"/>
  <c r="E12" i="12"/>
  <c r="C13" i="12"/>
  <c r="F13" i="12"/>
  <c r="E13" i="12"/>
  <c r="G13" i="12"/>
  <c r="D13" i="12"/>
  <c r="H13" i="12"/>
  <c r="D14" i="12"/>
  <c r="C14" i="12"/>
  <c r="E14" i="12"/>
  <c r="F14" i="12"/>
  <c r="H14" i="12"/>
  <c r="G14" i="12"/>
  <c r="F15" i="12"/>
  <c r="F47" i="10"/>
  <c r="F48" i="10" s="1"/>
  <c r="E48" i="1"/>
  <c r="E50" i="1" s="1"/>
  <c r="F23" i="7"/>
  <c r="B25" i="7"/>
  <c r="F25" i="7" s="1"/>
  <c r="F22" i="7" l="1"/>
  <c r="I49" i="10"/>
  <c r="F33" i="1" s="1"/>
  <c r="F35" i="1" s="1"/>
  <c r="F49" i="10"/>
  <c r="C33" i="1" s="1"/>
  <c r="C35" i="1" s="1"/>
  <c r="G47" i="10"/>
  <c r="G48" i="10" s="1"/>
  <c r="G49" i="10" s="1"/>
  <c r="B18" i="12"/>
  <c r="G50" i="1"/>
  <c r="G47" i="1"/>
  <c r="D10" i="5" s="1"/>
  <c r="E10" i="5" s="1"/>
  <c r="B49" i="1"/>
  <c r="E33" i="1"/>
  <c r="E35" i="1" s="1"/>
  <c r="G26" i="9"/>
  <c r="G30" i="9" s="1"/>
  <c r="C37" i="1" l="1"/>
  <c r="C41" i="1" s="1"/>
  <c r="D5" i="5" s="1"/>
  <c r="E5" i="5" s="1"/>
  <c r="F37" i="1"/>
  <c r="F41" i="1" s="1"/>
  <c r="D8" i="5" s="1"/>
  <c r="E8" i="5" s="1"/>
  <c r="E37" i="1"/>
  <c r="E41" i="1" s="1"/>
  <c r="D7" i="5" s="1"/>
  <c r="E7" i="5" s="1"/>
  <c r="H26" i="9"/>
  <c r="H30" i="9" s="1"/>
  <c r="E26" i="9"/>
  <c r="E30" i="9" s="1"/>
  <c r="E31" i="9" s="1"/>
  <c r="E32" i="9" s="1"/>
  <c r="E34" i="9" s="1"/>
  <c r="F13" i="9" s="1"/>
  <c r="G13" i="9" s="1"/>
  <c r="F26" i="9"/>
  <c r="F30" i="9" s="1"/>
  <c r="D33" i="1"/>
  <c r="D35" i="1" s="1"/>
  <c r="B19" i="12"/>
  <c r="D37" i="1" l="1"/>
  <c r="D41" i="1" s="1"/>
  <c r="D6" i="5" s="1"/>
  <c r="E6" i="5" s="1"/>
  <c r="F12" i="9"/>
  <c r="E36" i="9" s="1"/>
  <c r="E37" i="9" s="1"/>
  <c r="E38" i="9" s="1"/>
  <c r="B20" i="12"/>
  <c r="G44" i="1" l="1"/>
  <c r="G46" i="1" s="1"/>
  <c r="A42" i="1" s="1"/>
  <c r="G12" i="9"/>
  <c r="B21" i="12"/>
  <c r="D9" i="5" l="1"/>
  <c r="E9" i="5" s="1"/>
  <c r="A46" i="1"/>
  <c r="B22" i="12"/>
  <c r="B23" i="12" l="1"/>
  <c r="B24" i="12" l="1"/>
  <c r="B25" i="12" l="1"/>
  <c r="B26" i="12" l="1"/>
  <c r="B27" i="12" l="1"/>
  <c r="B28" i="12" l="1"/>
  <c r="B29" i="12" l="1"/>
  <c r="B30" i="12" l="1"/>
  <c r="B31" i="12" l="1"/>
  <c r="B32" i="12" l="1"/>
  <c r="B33" i="12" l="1"/>
  <c r="B34" i="12" l="1"/>
  <c r="B35" i="12" l="1"/>
  <c r="B36" i="12" l="1"/>
  <c r="B37" i="12" l="1"/>
  <c r="B38" i="12" l="1"/>
  <c r="B39" i="12" l="1"/>
  <c r="B40" i="12" l="1"/>
  <c r="B41" i="12" l="1"/>
  <c r="F40" i="12" s="1"/>
  <c r="D40" i="12" l="1"/>
  <c r="C40" i="12"/>
  <c r="H40" i="12"/>
  <c r="B42" i="12"/>
  <c r="G17" i="12"/>
  <c r="D17" i="12"/>
  <c r="C17" i="12"/>
  <c r="F17" i="12"/>
  <c r="E17" i="12"/>
  <c r="H17" i="12"/>
  <c r="D18" i="12"/>
  <c r="H18" i="12"/>
  <c r="G18" i="12"/>
  <c r="C18" i="12"/>
  <c r="E18" i="12"/>
  <c r="F18" i="12"/>
  <c r="F19" i="12"/>
  <c r="G19" i="12"/>
  <c r="D19" i="12"/>
  <c r="E19" i="12"/>
  <c r="C19" i="12"/>
  <c r="H19" i="12"/>
  <c r="H20" i="12"/>
  <c r="C20" i="12"/>
  <c r="G20" i="12"/>
  <c r="E20" i="12"/>
  <c r="D20" i="12"/>
  <c r="F20" i="12"/>
  <c r="E21" i="12"/>
  <c r="G21" i="12"/>
  <c r="H21" i="12"/>
  <c r="D21" i="12"/>
  <c r="F21" i="12"/>
  <c r="C21" i="12"/>
  <c r="E22" i="12"/>
  <c r="H22" i="12"/>
  <c r="C22" i="12"/>
  <c r="G22" i="12"/>
  <c r="F22" i="12"/>
  <c r="D22" i="12"/>
  <c r="F23" i="12"/>
  <c r="G23" i="12"/>
  <c r="E23" i="12"/>
  <c r="H23" i="12"/>
  <c r="C23" i="12"/>
  <c r="D23" i="12"/>
  <c r="G24" i="12"/>
  <c r="C24" i="12"/>
  <c r="F24" i="12"/>
  <c r="H24" i="12"/>
  <c r="D24" i="12"/>
  <c r="E24" i="12"/>
  <c r="C25" i="12"/>
  <c r="D25" i="12"/>
  <c r="H25" i="12"/>
  <c r="G25" i="12"/>
  <c r="E25" i="12"/>
  <c r="F25" i="12"/>
  <c r="E26" i="12"/>
  <c r="F26" i="12"/>
  <c r="C26" i="12"/>
  <c r="H26" i="12"/>
  <c r="D26" i="12"/>
  <c r="G26" i="12"/>
  <c r="E27" i="12"/>
  <c r="H27" i="12"/>
  <c r="C27" i="12"/>
  <c r="D27" i="12"/>
  <c r="G27" i="12"/>
  <c r="F27" i="12"/>
  <c r="H28" i="12"/>
  <c r="G28" i="12"/>
  <c r="F28" i="12"/>
  <c r="C28" i="12"/>
  <c r="E28" i="12"/>
  <c r="D28" i="12"/>
  <c r="H29" i="12"/>
  <c r="F29" i="12"/>
  <c r="G29" i="12"/>
  <c r="D29" i="12"/>
  <c r="E29" i="12"/>
  <c r="C29" i="12"/>
  <c r="F30" i="12"/>
  <c r="H30" i="12"/>
  <c r="D30" i="12"/>
  <c r="G30" i="12"/>
  <c r="E30" i="12"/>
  <c r="C30" i="12"/>
  <c r="F31" i="12"/>
  <c r="D31" i="12"/>
  <c r="H31" i="12"/>
  <c r="G31" i="12"/>
  <c r="C31" i="12"/>
  <c r="E31" i="12"/>
  <c r="F32" i="12"/>
  <c r="H32" i="12"/>
  <c r="E32" i="12"/>
  <c r="G32" i="12"/>
  <c r="D32" i="12"/>
  <c r="C32" i="12"/>
  <c r="G33" i="12"/>
  <c r="E33" i="12"/>
  <c r="F33" i="12"/>
  <c r="D33" i="12"/>
  <c r="C33" i="12"/>
  <c r="H33" i="12"/>
  <c r="H34" i="12"/>
  <c r="G34" i="12"/>
  <c r="D34" i="12"/>
  <c r="E34" i="12"/>
  <c r="F34" i="12"/>
  <c r="C34" i="12"/>
  <c r="C35" i="12"/>
  <c r="F35" i="12"/>
  <c r="G35" i="12"/>
  <c r="E35" i="12"/>
  <c r="D35" i="12"/>
  <c r="H35" i="12"/>
  <c r="G36" i="12"/>
  <c r="D36" i="12"/>
  <c r="F36" i="12"/>
  <c r="C36" i="12"/>
  <c r="E36" i="12"/>
  <c r="H36" i="12"/>
  <c r="F37" i="12"/>
  <c r="D37" i="12"/>
  <c r="C37" i="12"/>
  <c r="H37" i="12"/>
  <c r="E37" i="12"/>
  <c r="G37" i="12"/>
  <c r="D38" i="12"/>
  <c r="F38" i="12"/>
  <c r="C38" i="12"/>
  <c r="G38" i="12"/>
  <c r="H38" i="12"/>
  <c r="E38" i="12"/>
  <c r="H39" i="12"/>
  <c r="F39" i="12"/>
  <c r="C39" i="12"/>
  <c r="G39" i="12"/>
  <c r="D39" i="12"/>
  <c r="E39" i="12"/>
  <c r="E40" i="12"/>
  <c r="G40" i="12"/>
  <c r="B43" i="12" l="1"/>
  <c r="B44" i="12" l="1"/>
  <c r="B45" i="12" l="1"/>
  <c r="B46" i="12" l="1"/>
  <c r="B47" i="12" l="1"/>
  <c r="B48" i="12" l="1"/>
  <c r="B49" i="12" l="1"/>
  <c r="B50" i="12" l="1"/>
  <c r="B51" i="12" l="1"/>
  <c r="B52" i="12" l="1"/>
  <c r="B53" i="12" l="1"/>
  <c r="B54" i="12" l="1"/>
  <c r="B55" i="12" l="1"/>
  <c r="B56" i="12" l="1"/>
  <c r="B57" i="12" l="1"/>
  <c r="B58" i="12" l="1"/>
  <c r="B59" i="12" l="1"/>
  <c r="B60" i="12" l="1"/>
  <c r="B61" i="12" l="1"/>
  <c r="B62" i="12" l="1"/>
  <c r="B63" i="12" l="1"/>
  <c r="B64" i="12" l="1"/>
  <c r="B65" i="12" l="1"/>
  <c r="B66" i="12" l="1"/>
  <c r="C65" i="12" s="1"/>
  <c r="H65" i="12"/>
  <c r="E65" i="12"/>
  <c r="D65" i="12"/>
  <c r="G65" i="12"/>
  <c r="F65" i="12" l="1"/>
  <c r="B67" i="12"/>
  <c r="D42" i="12"/>
  <c r="F42" i="12"/>
  <c r="E42" i="12"/>
  <c r="C42" i="12"/>
  <c r="H42" i="12"/>
  <c r="G42" i="12"/>
  <c r="H43" i="12"/>
  <c r="D43" i="12"/>
  <c r="C43" i="12"/>
  <c r="E43" i="12"/>
  <c r="F43" i="12"/>
  <c r="G43" i="12"/>
  <c r="F44" i="12"/>
  <c r="D44" i="12"/>
  <c r="E44" i="12"/>
  <c r="G44" i="12"/>
  <c r="C44" i="12"/>
  <c r="H44" i="12"/>
  <c r="D45" i="12"/>
  <c r="F45" i="12"/>
  <c r="C45" i="12"/>
  <c r="H45" i="12"/>
  <c r="G45" i="12"/>
  <c r="E45" i="12"/>
  <c r="F46" i="12"/>
  <c r="C46" i="12"/>
  <c r="E46" i="12"/>
  <c r="G46" i="12"/>
  <c r="H46" i="12"/>
  <c r="D46" i="12"/>
  <c r="F47" i="12"/>
  <c r="D47" i="12"/>
  <c r="H47" i="12"/>
  <c r="C47" i="12"/>
  <c r="E47" i="12"/>
  <c r="G47" i="12"/>
  <c r="D48" i="12"/>
  <c r="C48" i="12"/>
  <c r="H48" i="12"/>
  <c r="F48" i="12"/>
  <c r="G48" i="12"/>
  <c r="E48" i="12"/>
  <c r="G49" i="12"/>
  <c r="H49" i="12"/>
  <c r="C49" i="12"/>
  <c r="D49" i="12"/>
  <c r="E49" i="12"/>
  <c r="F49" i="12"/>
  <c r="D50" i="12"/>
  <c r="F50" i="12"/>
  <c r="H50" i="12"/>
  <c r="C50" i="12"/>
  <c r="E50" i="12"/>
  <c r="G50" i="12"/>
  <c r="H51" i="12"/>
  <c r="C51" i="12"/>
  <c r="G51" i="12"/>
  <c r="E51" i="12"/>
  <c r="F51" i="12"/>
  <c r="D51" i="12"/>
  <c r="G52" i="12"/>
  <c r="D52" i="12"/>
  <c r="E52" i="12"/>
  <c r="C52" i="12"/>
  <c r="H52" i="12"/>
  <c r="F52" i="12"/>
  <c r="E53" i="12"/>
  <c r="C53" i="12"/>
  <c r="G53" i="12"/>
  <c r="D53" i="12"/>
  <c r="F53" i="12"/>
  <c r="H53" i="12"/>
  <c r="E54" i="12"/>
  <c r="H54" i="12"/>
  <c r="D54" i="12"/>
  <c r="G54" i="12"/>
  <c r="F54" i="12"/>
  <c r="C54" i="12"/>
  <c r="F55" i="12"/>
  <c r="C55" i="12"/>
  <c r="D55" i="12"/>
  <c r="E55" i="12"/>
  <c r="H55" i="12"/>
  <c r="G55" i="12"/>
  <c r="F56" i="12"/>
  <c r="H56" i="12"/>
  <c r="C56" i="12"/>
  <c r="D56" i="12"/>
  <c r="G56" i="12"/>
  <c r="E56" i="12"/>
  <c r="E57" i="12"/>
  <c r="D57" i="12"/>
  <c r="C57" i="12"/>
  <c r="F57" i="12"/>
  <c r="H57" i="12"/>
  <c r="G57" i="12"/>
  <c r="G58" i="12"/>
  <c r="F58" i="12"/>
  <c r="H58" i="12"/>
  <c r="C58" i="12"/>
  <c r="E58" i="12"/>
  <c r="D58" i="12"/>
  <c r="D59" i="12"/>
  <c r="E59" i="12"/>
  <c r="H59" i="12"/>
  <c r="C59" i="12"/>
  <c r="F59" i="12"/>
  <c r="G59" i="12"/>
  <c r="F60" i="12"/>
  <c r="G60" i="12"/>
  <c r="C60" i="12"/>
  <c r="E60" i="12"/>
  <c r="D60" i="12"/>
  <c r="H60" i="12"/>
  <c r="C61" i="12"/>
  <c r="D61" i="12"/>
  <c r="F61" i="12"/>
  <c r="E61" i="12"/>
  <c r="G61" i="12"/>
  <c r="H61" i="12"/>
  <c r="F62" i="12"/>
  <c r="C62" i="12"/>
  <c r="G62" i="12"/>
  <c r="D62" i="12"/>
  <c r="H62" i="12"/>
  <c r="E62" i="12"/>
  <c r="G63" i="12"/>
  <c r="D63" i="12"/>
  <c r="E63" i="12"/>
  <c r="F63" i="12"/>
  <c r="C63" i="12"/>
  <c r="H63" i="12"/>
  <c r="D64" i="12"/>
  <c r="C64" i="12"/>
  <c r="F64" i="12"/>
  <c r="H64" i="12"/>
  <c r="E64" i="12"/>
  <c r="G64" i="12"/>
  <c r="B68" i="12" l="1"/>
  <c r="B69" i="12" l="1"/>
  <c r="B70" i="12" l="1"/>
  <c r="B71" i="12" l="1"/>
  <c r="B72" i="12" l="1"/>
  <c r="B73" i="12" l="1"/>
  <c r="B74" i="12" l="1"/>
  <c r="B75" i="12" l="1"/>
  <c r="B76" i="12" l="1"/>
  <c r="B77" i="12" l="1"/>
  <c r="B78" i="12" l="1"/>
  <c r="B79" i="12" l="1"/>
  <c r="B80" i="12" l="1"/>
  <c r="B81" i="12" l="1"/>
  <c r="B82" i="12" l="1"/>
  <c r="B83" i="12" l="1"/>
  <c r="B84" i="12" l="1"/>
  <c r="B85" i="12" l="1"/>
  <c r="B86" i="12" l="1"/>
  <c r="B87" i="12" l="1"/>
  <c r="B88" i="12" l="1"/>
  <c r="B89" i="12" l="1"/>
  <c r="B90" i="12" l="1"/>
  <c r="B91" i="12" l="1"/>
  <c r="D90" i="12" s="1"/>
  <c r="H90" i="12" l="1"/>
  <c r="C90" i="12"/>
  <c r="G90" i="12"/>
  <c r="B92" i="12"/>
  <c r="E67" i="12"/>
  <c r="D67" i="12"/>
  <c r="H67" i="12"/>
  <c r="F67" i="12"/>
  <c r="G67" i="12"/>
  <c r="C67" i="12"/>
  <c r="E68" i="12"/>
  <c r="F68" i="12"/>
  <c r="D68" i="12"/>
  <c r="G68" i="12"/>
  <c r="H68" i="12"/>
  <c r="C68" i="12"/>
  <c r="F69" i="12"/>
  <c r="E69" i="12"/>
  <c r="D69" i="12"/>
  <c r="G69" i="12"/>
  <c r="H69" i="12"/>
  <c r="C69" i="12"/>
  <c r="H70" i="12"/>
  <c r="E70" i="12"/>
  <c r="F70" i="12"/>
  <c r="C70" i="12"/>
  <c r="G70" i="12"/>
  <c r="D70" i="12"/>
  <c r="G71" i="12"/>
  <c r="D71" i="12"/>
  <c r="F71" i="12"/>
  <c r="C71" i="12"/>
  <c r="E71" i="12"/>
  <c r="H71" i="12"/>
  <c r="C72" i="12"/>
  <c r="H72" i="12"/>
  <c r="G72" i="12"/>
  <c r="F72" i="12"/>
  <c r="D72" i="12"/>
  <c r="E72" i="12"/>
  <c r="C73" i="12"/>
  <c r="E73" i="12"/>
  <c r="H73" i="12"/>
  <c r="D73" i="12"/>
  <c r="G73" i="12"/>
  <c r="F73" i="12"/>
  <c r="E74" i="12"/>
  <c r="G74" i="12"/>
  <c r="H74" i="12"/>
  <c r="D74" i="12"/>
  <c r="C74" i="12"/>
  <c r="F74" i="12"/>
  <c r="E75" i="12"/>
  <c r="H75" i="12"/>
  <c r="G75" i="12"/>
  <c r="D75" i="12"/>
  <c r="C75" i="12"/>
  <c r="F75" i="12"/>
  <c r="C76" i="12"/>
  <c r="H76" i="12"/>
  <c r="G76" i="12"/>
  <c r="F76" i="12"/>
  <c r="D76" i="12"/>
  <c r="E76" i="12"/>
  <c r="H77" i="12"/>
  <c r="C77" i="12"/>
  <c r="E77" i="12"/>
  <c r="F77" i="12"/>
  <c r="D77" i="12"/>
  <c r="G77" i="12"/>
  <c r="D78" i="12"/>
  <c r="H78" i="12"/>
  <c r="F78" i="12"/>
  <c r="C78" i="12"/>
  <c r="G78" i="12"/>
  <c r="E78" i="12"/>
  <c r="C79" i="12"/>
  <c r="E79" i="12"/>
  <c r="H79" i="12"/>
  <c r="G79" i="12"/>
  <c r="D79" i="12"/>
  <c r="F79" i="12"/>
  <c r="E80" i="12"/>
  <c r="G80" i="12"/>
  <c r="H80" i="12"/>
  <c r="D80" i="12"/>
  <c r="C80" i="12"/>
  <c r="F80" i="12"/>
  <c r="E81" i="12"/>
  <c r="H81" i="12"/>
  <c r="D81" i="12"/>
  <c r="G81" i="12"/>
  <c r="C81" i="12"/>
  <c r="F81" i="12"/>
  <c r="H82" i="12"/>
  <c r="E82" i="12"/>
  <c r="F82" i="12"/>
  <c r="C82" i="12"/>
  <c r="G82" i="12"/>
  <c r="D82" i="12"/>
  <c r="G83" i="12"/>
  <c r="D83" i="12"/>
  <c r="F83" i="12"/>
  <c r="C83" i="12"/>
  <c r="E83" i="12"/>
  <c r="H83" i="12"/>
  <c r="F84" i="12"/>
  <c r="H84" i="12"/>
  <c r="G84" i="12"/>
  <c r="C84" i="12"/>
  <c r="D84" i="12"/>
  <c r="E84" i="12"/>
  <c r="E85" i="12"/>
  <c r="D85" i="12"/>
  <c r="G85" i="12"/>
  <c r="C85" i="12"/>
  <c r="H85" i="12"/>
  <c r="F85" i="12"/>
  <c r="E86" i="12"/>
  <c r="G86" i="12"/>
  <c r="H86" i="12"/>
  <c r="D86" i="12"/>
  <c r="C86" i="12"/>
  <c r="F86" i="12"/>
  <c r="F87" i="12"/>
  <c r="E87" i="12"/>
  <c r="H87" i="12"/>
  <c r="C87" i="12"/>
  <c r="G87" i="12"/>
  <c r="D87" i="12"/>
  <c r="E88" i="12"/>
  <c r="C88" i="12"/>
  <c r="G88" i="12"/>
  <c r="F88" i="12"/>
  <c r="D88" i="12"/>
  <c r="H88" i="12"/>
  <c r="H89" i="12"/>
  <c r="G89" i="12"/>
  <c r="E89" i="12"/>
  <c r="C89" i="12"/>
  <c r="F89" i="12"/>
  <c r="D89" i="12"/>
  <c r="F90" i="12"/>
  <c r="E90" i="12"/>
  <c r="B93" i="12" l="1"/>
  <c r="B94" i="12" l="1"/>
  <c r="B95" i="12" l="1"/>
  <c r="B96" i="12" l="1"/>
  <c r="B97" i="12" l="1"/>
  <c r="B98" i="12" l="1"/>
  <c r="B99" i="12" l="1"/>
  <c r="B100" i="12" l="1"/>
  <c r="B101" i="12" l="1"/>
  <c r="B102" i="12" l="1"/>
  <c r="B103" i="12" l="1"/>
  <c r="B104" i="12" l="1"/>
  <c r="B105" i="12" l="1"/>
  <c r="B106" i="12" l="1"/>
  <c r="B107" i="12" l="1"/>
  <c r="B108" i="12" l="1"/>
  <c r="B109" i="12" l="1"/>
  <c r="B110" i="12" l="1"/>
  <c r="B111" i="12" l="1"/>
  <c r="B112" i="12" l="1"/>
  <c r="B113" i="12" l="1"/>
  <c r="B114" i="12" l="1"/>
  <c r="B115" i="12" l="1"/>
  <c r="B116" i="12" l="1"/>
  <c r="C115" i="12" s="1"/>
  <c r="D115" i="12"/>
  <c r="H115" i="12" l="1"/>
  <c r="E115" i="12"/>
  <c r="G115" i="12"/>
  <c r="F115" i="12"/>
  <c r="B117" i="12"/>
  <c r="H92" i="12"/>
  <c r="G92" i="12"/>
  <c r="D92" i="12"/>
  <c r="C92" i="12"/>
  <c r="F92" i="12"/>
  <c r="E92" i="12"/>
  <c r="C93" i="12"/>
  <c r="D93" i="12"/>
  <c r="F93" i="12"/>
  <c r="E93" i="12"/>
  <c r="G93" i="12"/>
  <c r="H93" i="12"/>
  <c r="D94" i="12"/>
  <c r="G94" i="12"/>
  <c r="H94" i="12"/>
  <c r="C94" i="12"/>
  <c r="F94" i="12"/>
  <c r="E94" i="12"/>
  <c r="G95" i="12"/>
  <c r="E95" i="12"/>
  <c r="D95" i="12"/>
  <c r="C95" i="12"/>
  <c r="H95" i="12"/>
  <c r="F95" i="12"/>
  <c r="D96" i="12"/>
  <c r="F96" i="12"/>
  <c r="C96" i="12"/>
  <c r="E96" i="12"/>
  <c r="H96" i="12"/>
  <c r="G96" i="12"/>
  <c r="H97" i="12"/>
  <c r="E97" i="12"/>
  <c r="C97" i="12"/>
  <c r="G97" i="12"/>
  <c r="F97" i="12"/>
  <c r="D97" i="12"/>
  <c r="E98" i="12"/>
  <c r="D98" i="12"/>
  <c r="C98" i="12"/>
  <c r="G98" i="12"/>
  <c r="H98" i="12"/>
  <c r="F98" i="12"/>
  <c r="C99" i="12"/>
  <c r="D99" i="12"/>
  <c r="F99" i="12"/>
  <c r="E99" i="12"/>
  <c r="G99" i="12"/>
  <c r="H99" i="12"/>
  <c r="F100" i="12"/>
  <c r="E100" i="12"/>
  <c r="C100" i="12"/>
  <c r="G100" i="12"/>
  <c r="H100" i="12"/>
  <c r="D100" i="12"/>
  <c r="E101" i="12"/>
  <c r="C101" i="12"/>
  <c r="D101" i="12"/>
  <c r="G101" i="12"/>
  <c r="H101" i="12"/>
  <c r="F101" i="12"/>
  <c r="G102" i="12"/>
  <c r="D102" i="12"/>
  <c r="F102" i="12"/>
  <c r="C102" i="12"/>
  <c r="E102" i="12"/>
  <c r="H102" i="12"/>
  <c r="F103" i="12"/>
  <c r="C103" i="12"/>
  <c r="E103" i="12"/>
  <c r="H103" i="12"/>
  <c r="D103" i="12"/>
  <c r="G103" i="12"/>
  <c r="C104" i="12"/>
  <c r="D104" i="12"/>
  <c r="G104" i="12"/>
  <c r="E104" i="12"/>
  <c r="H104" i="12"/>
  <c r="F104" i="12"/>
  <c r="F105" i="12"/>
  <c r="E105" i="12"/>
  <c r="G105" i="12"/>
  <c r="D105" i="12"/>
  <c r="H105" i="12"/>
  <c r="C105" i="12"/>
  <c r="C106" i="12"/>
  <c r="H106" i="12"/>
  <c r="G106" i="12"/>
  <c r="E106" i="12"/>
  <c r="D106" i="12"/>
  <c r="F106" i="12"/>
  <c r="D107" i="12"/>
  <c r="H107" i="12"/>
  <c r="E107" i="12"/>
  <c r="F107" i="12"/>
  <c r="C107" i="12"/>
  <c r="G107" i="12"/>
  <c r="H108" i="12"/>
  <c r="C108" i="12"/>
  <c r="E108" i="12"/>
  <c r="D108" i="12"/>
  <c r="F108" i="12"/>
  <c r="G108" i="12"/>
  <c r="H109" i="12"/>
  <c r="E109" i="12"/>
  <c r="D109" i="12"/>
  <c r="C109" i="12"/>
  <c r="F109" i="12"/>
  <c r="G109" i="12"/>
  <c r="F110" i="12"/>
  <c r="D110" i="12"/>
  <c r="C110" i="12"/>
  <c r="H110" i="12"/>
  <c r="G110" i="12"/>
  <c r="E110" i="12"/>
  <c r="C111" i="12"/>
  <c r="E111" i="12"/>
  <c r="F111" i="12"/>
  <c r="D111" i="12"/>
  <c r="G111" i="12"/>
  <c r="H111" i="12"/>
  <c r="C112" i="12"/>
  <c r="D112" i="12"/>
  <c r="G112" i="12"/>
  <c r="E112" i="12"/>
  <c r="H112" i="12"/>
  <c r="F112" i="12"/>
  <c r="E113" i="12"/>
  <c r="C113" i="12"/>
  <c r="D113" i="12"/>
  <c r="G113" i="12"/>
  <c r="F113" i="12"/>
  <c r="H113" i="12"/>
  <c r="D114" i="12"/>
  <c r="C114" i="12"/>
  <c r="E114" i="12"/>
  <c r="H114" i="12"/>
  <c r="F114" i="12"/>
  <c r="G114" i="12"/>
  <c r="B118" i="12" l="1"/>
  <c r="B119" i="12" l="1"/>
  <c r="B120" i="12" l="1"/>
  <c r="B121" i="12" l="1"/>
  <c r="B122" i="12" l="1"/>
  <c r="B123" i="12" l="1"/>
  <c r="B124" i="12" l="1"/>
  <c r="B125" i="12" l="1"/>
  <c r="B126" i="12" l="1"/>
  <c r="B127" i="12" l="1"/>
  <c r="B128" i="12" l="1"/>
  <c r="B129" i="12" l="1"/>
  <c r="B130" i="12" l="1"/>
  <c r="B131" i="12" l="1"/>
  <c r="B132" i="12" l="1"/>
  <c r="B133" i="12" l="1"/>
  <c r="B134" i="12" l="1"/>
  <c r="B135" i="12" l="1"/>
  <c r="B136" i="12" l="1"/>
  <c r="B137" i="12" l="1"/>
  <c r="B138" i="12" l="1"/>
  <c r="B139" i="12" l="1"/>
  <c r="B140" i="12" l="1"/>
  <c r="B141" i="12" l="1"/>
  <c r="C140" i="12" s="1"/>
  <c r="G140" i="12" l="1"/>
  <c r="H140" i="12"/>
  <c r="F140" i="12"/>
  <c r="B142" i="12"/>
  <c r="F117" i="12"/>
  <c r="E117" i="12"/>
  <c r="H117" i="12"/>
  <c r="G117" i="12"/>
  <c r="D117" i="12"/>
  <c r="C117" i="12"/>
  <c r="H118" i="12"/>
  <c r="F118" i="12"/>
  <c r="E118" i="12"/>
  <c r="G118" i="12"/>
  <c r="D118" i="12"/>
  <c r="C118" i="12"/>
  <c r="E119" i="12"/>
  <c r="G119" i="12"/>
  <c r="D119" i="12"/>
  <c r="H119" i="12"/>
  <c r="C119" i="12"/>
  <c r="F119" i="12"/>
  <c r="D120" i="12"/>
  <c r="C120" i="12"/>
  <c r="G120" i="12"/>
  <c r="F120" i="12"/>
  <c r="E120" i="12"/>
  <c r="H120" i="12"/>
  <c r="D121" i="12"/>
  <c r="G121" i="12"/>
  <c r="F121" i="12"/>
  <c r="C121" i="12"/>
  <c r="H121" i="12"/>
  <c r="E121" i="12"/>
  <c r="E122" i="12"/>
  <c r="D122" i="12"/>
  <c r="F122" i="12"/>
  <c r="C122" i="12"/>
  <c r="G122" i="12"/>
  <c r="H122" i="12"/>
  <c r="E123" i="12"/>
  <c r="D123" i="12"/>
  <c r="H123" i="12"/>
  <c r="G123" i="12"/>
  <c r="C123" i="12"/>
  <c r="F123" i="12"/>
  <c r="F124" i="12"/>
  <c r="D124" i="12"/>
  <c r="E124" i="12"/>
  <c r="H124" i="12"/>
  <c r="G124" i="12"/>
  <c r="C124" i="12"/>
  <c r="E125" i="12"/>
  <c r="H125" i="12"/>
  <c r="G125" i="12"/>
  <c r="C125" i="12"/>
  <c r="D125" i="12"/>
  <c r="F125" i="12"/>
  <c r="F126" i="12"/>
  <c r="H126" i="12"/>
  <c r="C126" i="12"/>
  <c r="G126" i="12"/>
  <c r="D126" i="12"/>
  <c r="E126" i="12"/>
  <c r="G127" i="12"/>
  <c r="E127" i="12"/>
  <c r="D127" i="12"/>
  <c r="C127" i="12"/>
  <c r="F127" i="12"/>
  <c r="H127" i="12"/>
  <c r="D128" i="12"/>
  <c r="E128" i="12"/>
  <c r="G128" i="12"/>
  <c r="F128" i="12"/>
  <c r="C128" i="12"/>
  <c r="H128" i="12"/>
  <c r="H129" i="12"/>
  <c r="E129" i="12"/>
  <c r="F129" i="12"/>
  <c r="D129" i="12"/>
  <c r="G129" i="12"/>
  <c r="C129" i="12"/>
  <c r="D130" i="12"/>
  <c r="F130" i="12"/>
  <c r="G130" i="12"/>
  <c r="C130" i="12"/>
  <c r="H130" i="12"/>
  <c r="E130" i="12"/>
  <c r="H131" i="12"/>
  <c r="G131" i="12"/>
  <c r="D131" i="12"/>
  <c r="C131" i="12"/>
  <c r="F131" i="12"/>
  <c r="E131" i="12"/>
  <c r="D132" i="12"/>
  <c r="H132" i="12"/>
  <c r="F132" i="12"/>
  <c r="E132" i="12"/>
  <c r="C132" i="12"/>
  <c r="G132" i="12"/>
  <c r="G133" i="12"/>
  <c r="F133" i="12"/>
  <c r="H133" i="12"/>
  <c r="E133" i="12"/>
  <c r="C133" i="12"/>
  <c r="D133" i="12"/>
  <c r="H134" i="12"/>
  <c r="G134" i="12"/>
  <c r="F134" i="12"/>
  <c r="E134" i="12"/>
  <c r="C134" i="12"/>
  <c r="D134" i="12"/>
  <c r="H135" i="12"/>
  <c r="G135" i="12"/>
  <c r="D135" i="12"/>
  <c r="C135" i="12"/>
  <c r="F135" i="12"/>
  <c r="E135" i="12"/>
  <c r="D136" i="12"/>
  <c r="F136" i="12"/>
  <c r="G136" i="12"/>
  <c r="C136" i="12"/>
  <c r="H136" i="12"/>
  <c r="E136" i="12"/>
  <c r="E137" i="12"/>
  <c r="H137" i="12"/>
  <c r="G137" i="12"/>
  <c r="C137" i="12"/>
  <c r="D137" i="12"/>
  <c r="F137" i="12"/>
  <c r="C138" i="12"/>
  <c r="G138" i="12"/>
  <c r="E138" i="12"/>
  <c r="H138" i="12"/>
  <c r="F138" i="12"/>
  <c r="D138" i="12"/>
  <c r="D139" i="12"/>
  <c r="C139" i="12"/>
  <c r="E139" i="12"/>
  <c r="F139" i="12"/>
  <c r="H139" i="12"/>
  <c r="G139" i="12"/>
  <c r="E140" i="12"/>
  <c r="D140" i="12"/>
  <c r="B143" i="12" l="1"/>
  <c r="B144" i="12" l="1"/>
  <c r="B145" i="12" l="1"/>
  <c r="B146" i="12" l="1"/>
  <c r="B147" i="12" l="1"/>
  <c r="B148" i="12" l="1"/>
  <c r="B149" i="12" l="1"/>
  <c r="K9" i="12"/>
  <c r="B150" i="12" l="1"/>
  <c r="D24" i="6"/>
  <c r="J45" i="1"/>
  <c r="H24" i="6" l="1"/>
  <c r="A25" i="6"/>
  <c r="J19" i="6"/>
  <c r="E18" i="10" s="1"/>
  <c r="E19" i="10" s="1"/>
  <c r="D10" i="1" s="1"/>
  <c r="H46" i="1"/>
  <c r="G40" i="1"/>
  <c r="D3" i="5"/>
  <c r="E3" i="5" s="1"/>
  <c r="E11" i="5" s="1"/>
  <c r="I39" i="1" s="1"/>
  <c r="B151" i="12"/>
  <c r="B152" i="12" l="1"/>
  <c r="B153" i="12" l="1"/>
  <c r="B154" i="12" l="1"/>
  <c r="B155" i="12" l="1"/>
  <c r="B156" i="12" l="1"/>
  <c r="B157" i="12" l="1"/>
  <c r="B158" i="12" l="1"/>
  <c r="B159" i="12" l="1"/>
  <c r="B160" i="12" l="1"/>
  <c r="B161" i="12" l="1"/>
  <c r="B162" i="12" l="1"/>
  <c r="B163" i="12" l="1"/>
  <c r="B164" i="12" l="1"/>
  <c r="B165" i="12" l="1"/>
  <c r="B166" i="12" l="1"/>
  <c r="E165" i="12" s="1"/>
  <c r="G165" i="12"/>
  <c r="F165" i="12" l="1"/>
  <c r="C165" i="12"/>
  <c r="D165" i="12"/>
  <c r="H165" i="12"/>
  <c r="B167" i="12"/>
  <c r="H142" i="12"/>
  <c r="D142" i="12"/>
  <c r="G142" i="12"/>
  <c r="E142" i="12"/>
  <c r="F142" i="12"/>
  <c r="C142" i="12"/>
  <c r="D143" i="12"/>
  <c r="C143" i="12"/>
  <c r="E143" i="12"/>
  <c r="H143" i="12"/>
  <c r="F143" i="12"/>
  <c r="G143" i="12"/>
  <c r="C144" i="12"/>
  <c r="D144" i="12"/>
  <c r="H144" i="12"/>
  <c r="E144" i="12"/>
  <c r="F144" i="12"/>
  <c r="G144" i="12"/>
  <c r="F145" i="12"/>
  <c r="H145" i="12"/>
  <c r="G145" i="12"/>
  <c r="E145" i="12"/>
  <c r="D145" i="12"/>
  <c r="C145" i="12"/>
  <c r="C146" i="12"/>
  <c r="E146" i="12"/>
  <c r="D146" i="12"/>
  <c r="F146" i="12"/>
  <c r="G146" i="12"/>
  <c r="H146" i="12"/>
  <c r="H147" i="12"/>
  <c r="G147" i="12"/>
  <c r="C147" i="12"/>
  <c r="D147" i="12"/>
  <c r="F147" i="12"/>
  <c r="E147" i="12"/>
  <c r="D148" i="12"/>
  <c r="F148" i="12"/>
  <c r="G148" i="12"/>
  <c r="C148" i="12"/>
  <c r="E148" i="12"/>
  <c r="H148" i="12"/>
  <c r="E149" i="12"/>
  <c r="F149" i="12"/>
  <c r="C149" i="12"/>
  <c r="H149" i="12"/>
  <c r="G149" i="12"/>
  <c r="D149" i="12"/>
  <c r="E150" i="12"/>
  <c r="H150" i="12"/>
  <c r="G150" i="12"/>
  <c r="D150" i="12"/>
  <c r="F150" i="12"/>
  <c r="C150" i="12"/>
  <c r="H151" i="12"/>
  <c r="G151" i="12"/>
  <c r="D151" i="12"/>
  <c r="F151" i="12"/>
  <c r="C151" i="12"/>
  <c r="E151" i="12"/>
  <c r="F152" i="12"/>
  <c r="E152" i="12"/>
  <c r="D152" i="12"/>
  <c r="C152" i="12"/>
  <c r="H152" i="12"/>
  <c r="G152" i="12"/>
  <c r="F153" i="12"/>
  <c r="G153" i="12"/>
  <c r="E153" i="12"/>
  <c r="C153" i="12"/>
  <c r="H153" i="12"/>
  <c r="D153" i="12"/>
  <c r="E154" i="12"/>
  <c r="F154" i="12"/>
  <c r="D154" i="12"/>
  <c r="C154" i="12"/>
  <c r="H154" i="12"/>
  <c r="G154" i="12"/>
  <c r="G155" i="12"/>
  <c r="E155" i="12"/>
  <c r="D155" i="12"/>
  <c r="C155" i="12"/>
  <c r="F155" i="12"/>
  <c r="H155" i="12"/>
  <c r="C156" i="12"/>
  <c r="F156" i="12"/>
  <c r="D156" i="12"/>
  <c r="G156" i="12"/>
  <c r="E156" i="12"/>
  <c r="H156" i="12"/>
  <c r="H157" i="12"/>
  <c r="C157" i="12"/>
  <c r="F157" i="12"/>
  <c r="E157" i="12"/>
  <c r="G157" i="12"/>
  <c r="D157" i="12"/>
  <c r="H158" i="12"/>
  <c r="C158" i="12"/>
  <c r="G158" i="12"/>
  <c r="F158" i="12"/>
  <c r="D158" i="12"/>
  <c r="E158" i="12"/>
  <c r="H159" i="12"/>
  <c r="D159" i="12"/>
  <c r="E159" i="12"/>
  <c r="F159" i="12"/>
  <c r="G159" i="12"/>
  <c r="C159" i="12"/>
  <c r="C160" i="12"/>
  <c r="F160" i="12"/>
  <c r="D160" i="12"/>
  <c r="H160" i="12"/>
  <c r="G160" i="12"/>
  <c r="E160" i="12"/>
  <c r="C161" i="12"/>
  <c r="H161" i="12"/>
  <c r="D161" i="12"/>
  <c r="G161" i="12"/>
  <c r="F161" i="12"/>
  <c r="E161" i="12"/>
  <c r="E162" i="12"/>
  <c r="F162" i="12"/>
  <c r="D162" i="12"/>
  <c r="C162" i="12"/>
  <c r="H162" i="12"/>
  <c r="G162" i="12"/>
  <c r="C163" i="12"/>
  <c r="D163" i="12"/>
  <c r="H163" i="12"/>
  <c r="F163" i="12"/>
  <c r="E163" i="12"/>
  <c r="G163" i="12"/>
  <c r="F164" i="12"/>
  <c r="D164" i="12"/>
  <c r="C164" i="12"/>
  <c r="H164" i="12"/>
  <c r="G164" i="12"/>
  <c r="E164" i="12"/>
  <c r="B168" i="12" l="1"/>
  <c r="B169" i="12" l="1"/>
  <c r="B170" i="12" l="1"/>
  <c r="B171" i="12" l="1"/>
  <c r="B172" i="12" l="1"/>
  <c r="B173" i="12" l="1"/>
  <c r="B174" i="12" l="1"/>
  <c r="B175" i="12" l="1"/>
  <c r="B176" i="12" l="1"/>
  <c r="B177" i="12" l="1"/>
  <c r="B178" i="12" l="1"/>
  <c r="B179" i="12" l="1"/>
  <c r="B180" i="12" l="1"/>
  <c r="B181" i="12" l="1"/>
  <c r="B182" i="12" l="1"/>
  <c r="B183" i="12" l="1"/>
  <c r="B184" i="12" l="1"/>
  <c r="B185" i="12" l="1"/>
  <c r="B186" i="12" l="1"/>
  <c r="B187" i="12" l="1"/>
  <c r="B188" i="12" l="1"/>
  <c r="B189" i="12" l="1"/>
  <c r="B190" i="12" l="1"/>
  <c r="B191" i="12" l="1"/>
  <c r="E190" i="12" s="1"/>
  <c r="C190" i="12" l="1"/>
  <c r="D190" i="12"/>
  <c r="H190" i="12"/>
  <c r="B192" i="12"/>
  <c r="C167" i="12"/>
  <c r="H167" i="12"/>
  <c r="D167" i="12"/>
  <c r="G167" i="12"/>
  <c r="E167" i="12"/>
  <c r="F167" i="12"/>
  <c r="F168" i="12"/>
  <c r="G168" i="12"/>
  <c r="E168" i="12"/>
  <c r="H168" i="12"/>
  <c r="D168" i="12"/>
  <c r="C168" i="12"/>
  <c r="F169" i="12"/>
  <c r="G169" i="12"/>
  <c r="E169" i="12"/>
  <c r="D169" i="12"/>
  <c r="C169" i="12"/>
  <c r="H169" i="12"/>
  <c r="D170" i="12"/>
  <c r="H170" i="12"/>
  <c r="C170" i="12"/>
  <c r="E170" i="12"/>
  <c r="G170" i="12"/>
  <c r="F170" i="12"/>
  <c r="G171" i="12"/>
  <c r="H171" i="12"/>
  <c r="C171" i="12"/>
  <c r="E171" i="12"/>
  <c r="D171" i="12"/>
  <c r="F171" i="12"/>
  <c r="D172" i="12"/>
  <c r="G172" i="12"/>
  <c r="C172" i="12"/>
  <c r="H172" i="12"/>
  <c r="E172" i="12"/>
  <c r="F172" i="12"/>
  <c r="F173" i="12"/>
  <c r="G173" i="12"/>
  <c r="E173" i="12"/>
  <c r="H173" i="12"/>
  <c r="C173" i="12"/>
  <c r="D173" i="12"/>
  <c r="E174" i="12"/>
  <c r="F174" i="12"/>
  <c r="G174" i="12"/>
  <c r="H174" i="12"/>
  <c r="C174" i="12"/>
  <c r="D174" i="12"/>
  <c r="F175" i="12"/>
  <c r="C175" i="12"/>
  <c r="H175" i="12"/>
  <c r="G175" i="12"/>
  <c r="E175" i="12"/>
  <c r="D175" i="12"/>
  <c r="C176" i="12"/>
  <c r="F176" i="12"/>
  <c r="H176" i="12"/>
  <c r="E176" i="12"/>
  <c r="D176" i="12"/>
  <c r="G176" i="12"/>
  <c r="D177" i="12"/>
  <c r="H177" i="12"/>
  <c r="C177" i="12"/>
  <c r="E177" i="12"/>
  <c r="G177" i="12"/>
  <c r="F177" i="12"/>
  <c r="D178" i="12"/>
  <c r="H178" i="12"/>
  <c r="C178" i="12"/>
  <c r="E178" i="12"/>
  <c r="G178" i="12"/>
  <c r="F178" i="12"/>
  <c r="E179" i="12"/>
  <c r="F179" i="12"/>
  <c r="D179" i="12"/>
  <c r="C179" i="12"/>
  <c r="H179" i="12"/>
  <c r="G179" i="12"/>
  <c r="C180" i="12"/>
  <c r="H180" i="12"/>
  <c r="D180" i="12"/>
  <c r="E180" i="12"/>
  <c r="F180" i="12"/>
  <c r="G180" i="12"/>
  <c r="F181" i="12"/>
  <c r="G181" i="12"/>
  <c r="E181" i="12"/>
  <c r="H181" i="12"/>
  <c r="C181" i="12"/>
  <c r="D181" i="12"/>
  <c r="D182" i="12"/>
  <c r="H182" i="12"/>
  <c r="C182" i="12"/>
  <c r="E182" i="12"/>
  <c r="G182" i="12"/>
  <c r="F182" i="12"/>
  <c r="G183" i="12"/>
  <c r="D183" i="12"/>
  <c r="C183" i="12"/>
  <c r="E183" i="12"/>
  <c r="H183" i="12"/>
  <c r="F183" i="12"/>
  <c r="G184" i="12"/>
  <c r="C184" i="12"/>
  <c r="H184" i="12"/>
  <c r="E184" i="12"/>
  <c r="D184" i="12"/>
  <c r="F184" i="12"/>
  <c r="F185" i="12"/>
  <c r="G185" i="12"/>
  <c r="E185" i="12"/>
  <c r="D185" i="12"/>
  <c r="C185" i="12"/>
  <c r="H185" i="12"/>
  <c r="E186" i="12"/>
  <c r="F186" i="12"/>
  <c r="G186" i="12"/>
  <c r="H186" i="12"/>
  <c r="C186" i="12"/>
  <c r="D186" i="12"/>
  <c r="C187" i="12"/>
  <c r="D187" i="12"/>
  <c r="F187" i="12"/>
  <c r="G187" i="12"/>
  <c r="E187" i="12"/>
  <c r="H187" i="12"/>
  <c r="D188" i="12"/>
  <c r="G188" i="12"/>
  <c r="C188" i="12"/>
  <c r="H188" i="12"/>
  <c r="E188" i="12"/>
  <c r="F188" i="12"/>
  <c r="H189" i="12"/>
  <c r="D189" i="12"/>
  <c r="F189" i="12"/>
  <c r="E189" i="12"/>
  <c r="G189" i="12"/>
  <c r="C189" i="12"/>
  <c r="F190" i="12"/>
  <c r="G190" i="12"/>
  <c r="B193" i="12" l="1"/>
  <c r="B194" i="12" l="1"/>
  <c r="B195" i="12" l="1"/>
  <c r="B196" i="12" l="1"/>
  <c r="B197" i="12" l="1"/>
  <c r="B198" i="12" l="1"/>
  <c r="B199" i="12" l="1"/>
  <c r="B200" i="12" l="1"/>
  <c r="B201" i="12" l="1"/>
  <c r="B202" i="12" l="1"/>
  <c r="B203" i="12" l="1"/>
  <c r="B204" i="12" l="1"/>
  <c r="B205" i="12" l="1"/>
  <c r="B206" i="12" l="1"/>
  <c r="B207" i="12" l="1"/>
  <c r="B208" i="12" l="1"/>
  <c r="B209" i="12" l="1"/>
  <c r="B210" i="12" l="1"/>
  <c r="B211" i="12" l="1"/>
  <c r="B212" i="12" l="1"/>
  <c r="B213" i="12" l="1"/>
  <c r="B214" i="12" l="1"/>
  <c r="B215" i="12" l="1"/>
  <c r="B216" i="12" l="1"/>
  <c r="C215" i="12" s="1"/>
  <c r="B217" i="12" l="1"/>
  <c r="H192" i="12"/>
  <c r="D192" i="12"/>
  <c r="C192" i="12"/>
  <c r="F192" i="12"/>
  <c r="E192" i="12"/>
  <c r="G192" i="12"/>
  <c r="G193" i="12"/>
  <c r="E193" i="12"/>
  <c r="D193" i="12"/>
  <c r="F193" i="12"/>
  <c r="H193" i="12"/>
  <c r="C193" i="12"/>
  <c r="E194" i="12"/>
  <c r="G194" i="12"/>
  <c r="D194" i="12"/>
  <c r="F194" i="12"/>
  <c r="H194" i="12"/>
  <c r="C194" i="12"/>
  <c r="C195" i="12"/>
  <c r="D195" i="12"/>
  <c r="E195" i="12"/>
  <c r="G195" i="12"/>
  <c r="F195" i="12"/>
  <c r="H195" i="12"/>
  <c r="G196" i="12"/>
  <c r="D196" i="12"/>
  <c r="E196" i="12"/>
  <c r="F196" i="12"/>
  <c r="C196" i="12"/>
  <c r="H196" i="12"/>
  <c r="D197" i="12"/>
  <c r="C197" i="12"/>
  <c r="E197" i="12"/>
  <c r="H197" i="12"/>
  <c r="F197" i="12"/>
  <c r="G197" i="12"/>
  <c r="E198" i="12"/>
  <c r="C198" i="12"/>
  <c r="D198" i="12"/>
  <c r="F198" i="12"/>
  <c r="G198" i="12"/>
  <c r="H198" i="12"/>
  <c r="H199" i="12"/>
  <c r="F199" i="12"/>
  <c r="G199" i="12"/>
  <c r="E199" i="12"/>
  <c r="D199" i="12"/>
  <c r="C199" i="12"/>
  <c r="C200" i="12"/>
  <c r="G200" i="12"/>
  <c r="H200" i="12"/>
  <c r="D200" i="12"/>
  <c r="F200" i="12"/>
  <c r="E200" i="12"/>
  <c r="D201" i="12"/>
  <c r="E201" i="12"/>
  <c r="F201" i="12"/>
  <c r="H201" i="12"/>
  <c r="C201" i="12"/>
  <c r="G201" i="12"/>
  <c r="D202" i="12"/>
  <c r="C202" i="12"/>
  <c r="F202" i="12"/>
  <c r="G202" i="12"/>
  <c r="H202" i="12"/>
  <c r="E202" i="12"/>
  <c r="H203" i="12"/>
  <c r="D203" i="12"/>
  <c r="G203" i="12"/>
  <c r="F203" i="12"/>
  <c r="E203" i="12"/>
  <c r="C203" i="12"/>
  <c r="C204" i="12"/>
  <c r="F204" i="12"/>
  <c r="H204" i="12"/>
  <c r="D204" i="12"/>
  <c r="G204" i="12"/>
  <c r="E204" i="12"/>
  <c r="G205" i="12"/>
  <c r="D205" i="12"/>
  <c r="F205" i="12"/>
  <c r="C205" i="12"/>
  <c r="E205" i="12"/>
  <c r="H205" i="12"/>
  <c r="C206" i="12"/>
  <c r="H206" i="12"/>
  <c r="G206" i="12"/>
  <c r="D206" i="12"/>
  <c r="F206" i="12"/>
  <c r="E206" i="12"/>
  <c r="E207" i="12"/>
  <c r="C207" i="12"/>
  <c r="H207" i="12"/>
  <c r="F207" i="12"/>
  <c r="D207" i="12"/>
  <c r="G207" i="12"/>
  <c r="C208" i="12"/>
  <c r="D208" i="12"/>
  <c r="E208" i="12"/>
  <c r="G208" i="12"/>
  <c r="F208" i="12"/>
  <c r="H208" i="12"/>
  <c r="E209" i="12"/>
  <c r="C209" i="12"/>
  <c r="D209" i="12"/>
  <c r="F209" i="12"/>
  <c r="H209" i="12"/>
  <c r="G209" i="12"/>
  <c r="G210" i="12"/>
  <c r="F210" i="12"/>
  <c r="C210" i="12"/>
  <c r="H210" i="12"/>
  <c r="D210" i="12"/>
  <c r="E210" i="12"/>
  <c r="G211" i="12"/>
  <c r="F211" i="12"/>
  <c r="H211" i="12"/>
  <c r="C211" i="12"/>
  <c r="E211" i="12"/>
  <c r="D211" i="12"/>
  <c r="D212" i="12"/>
  <c r="F212" i="12"/>
  <c r="G212" i="12"/>
  <c r="C212" i="12"/>
  <c r="H212" i="12"/>
  <c r="E212" i="12"/>
  <c r="H213" i="12"/>
  <c r="E213" i="12"/>
  <c r="G213" i="12"/>
  <c r="F213" i="12"/>
  <c r="D213" i="12"/>
  <c r="C213" i="12"/>
  <c r="H214" i="12"/>
  <c r="E214" i="12"/>
  <c r="G214" i="12"/>
  <c r="F214" i="12"/>
  <c r="C214" i="12"/>
  <c r="D214" i="12"/>
  <c r="G215" i="12"/>
  <c r="E215" i="12"/>
  <c r="F215" i="12"/>
  <c r="D215" i="12"/>
  <c r="H215" i="12"/>
  <c r="B218" i="12" l="1"/>
  <c r="B219" i="12" l="1"/>
  <c r="B220" i="12" l="1"/>
  <c r="B221" i="12" l="1"/>
  <c r="B222" i="12" l="1"/>
  <c r="B223" i="12" l="1"/>
  <c r="B224" i="12" l="1"/>
  <c r="B225" i="12" l="1"/>
  <c r="B226" i="12" l="1"/>
  <c r="B227" i="12" l="1"/>
  <c r="B228" i="12" l="1"/>
  <c r="B229" i="12" l="1"/>
  <c r="B230" i="12" l="1"/>
  <c r="B231" i="12" l="1"/>
  <c r="B232" i="12" l="1"/>
  <c r="B233" i="12" l="1"/>
  <c r="B234" i="12" l="1"/>
  <c r="B235" i="12" l="1"/>
  <c r="B236" i="12" l="1"/>
  <c r="B237" i="12" l="1"/>
  <c r="B238" i="12" l="1"/>
  <c r="B239" i="12" l="1"/>
  <c r="B240" i="12" l="1"/>
  <c r="B241" i="12" l="1"/>
  <c r="G240" i="12" s="1"/>
  <c r="C240" i="12"/>
  <c r="H240" i="12"/>
  <c r="E240" i="12"/>
  <c r="D240" i="12"/>
  <c r="F240" i="12" l="1"/>
  <c r="B242" i="12"/>
  <c r="F217" i="12"/>
  <c r="G217" i="12"/>
  <c r="H217" i="12"/>
  <c r="C217" i="12"/>
  <c r="D217" i="12"/>
  <c r="E217" i="12"/>
  <c r="H218" i="12"/>
  <c r="G218" i="12"/>
  <c r="E218" i="12"/>
  <c r="F218" i="12"/>
  <c r="D218" i="12"/>
  <c r="C218" i="12"/>
  <c r="C219" i="12"/>
  <c r="F219" i="12"/>
  <c r="H219" i="12"/>
  <c r="G219" i="12"/>
  <c r="E219" i="12"/>
  <c r="D219" i="12"/>
  <c r="E220" i="12"/>
  <c r="F220" i="12"/>
  <c r="C220" i="12"/>
  <c r="D220" i="12"/>
  <c r="H220" i="12"/>
  <c r="G220" i="12"/>
  <c r="D221" i="12"/>
  <c r="C221" i="12"/>
  <c r="H221" i="12"/>
  <c r="E221" i="12"/>
  <c r="F221" i="12"/>
  <c r="G221" i="12"/>
  <c r="G222" i="12"/>
  <c r="H222" i="12"/>
  <c r="D222" i="12"/>
  <c r="E222" i="12"/>
  <c r="C222" i="12"/>
  <c r="F222" i="12"/>
  <c r="E223" i="12"/>
  <c r="D223" i="12"/>
  <c r="H223" i="12"/>
  <c r="G223" i="12"/>
  <c r="C223" i="12"/>
  <c r="F223" i="12"/>
  <c r="G224" i="12"/>
  <c r="D224" i="12"/>
  <c r="E224" i="12"/>
  <c r="F224" i="12"/>
  <c r="H224" i="12"/>
  <c r="C224" i="12"/>
  <c r="C225" i="12"/>
  <c r="E225" i="12"/>
  <c r="F225" i="12"/>
  <c r="G225" i="12"/>
  <c r="D225" i="12"/>
  <c r="H225" i="12"/>
  <c r="D226" i="12"/>
  <c r="H226" i="12"/>
  <c r="E226" i="12"/>
  <c r="C226" i="12"/>
  <c r="G226" i="12"/>
  <c r="F226" i="12"/>
  <c r="D227" i="12"/>
  <c r="H227" i="12"/>
  <c r="G227" i="12"/>
  <c r="E227" i="12"/>
  <c r="C227" i="12"/>
  <c r="F227" i="12"/>
  <c r="G228" i="12"/>
  <c r="D228" i="12"/>
  <c r="H228" i="12"/>
  <c r="E228" i="12"/>
  <c r="C228" i="12"/>
  <c r="F228" i="12"/>
  <c r="G229" i="12"/>
  <c r="D229" i="12"/>
  <c r="H229" i="12"/>
  <c r="F229" i="12"/>
  <c r="C229" i="12"/>
  <c r="E229" i="12"/>
  <c r="G230" i="12"/>
  <c r="F230" i="12"/>
  <c r="H230" i="12"/>
  <c r="E230" i="12"/>
  <c r="C230" i="12"/>
  <c r="D230" i="12"/>
  <c r="F231" i="12"/>
  <c r="H231" i="12"/>
  <c r="C231" i="12"/>
  <c r="D231" i="12"/>
  <c r="E231" i="12"/>
  <c r="G231" i="12"/>
  <c r="F232" i="12"/>
  <c r="D232" i="12"/>
  <c r="H232" i="12"/>
  <c r="C232" i="12"/>
  <c r="E232" i="12"/>
  <c r="G232" i="12"/>
  <c r="H233" i="12"/>
  <c r="F233" i="12"/>
  <c r="C233" i="12"/>
  <c r="D233" i="12"/>
  <c r="E233" i="12"/>
  <c r="G233" i="12"/>
  <c r="F234" i="12"/>
  <c r="H234" i="12"/>
  <c r="C234" i="12"/>
  <c r="G234" i="12"/>
  <c r="E234" i="12"/>
  <c r="D234" i="12"/>
  <c r="H235" i="12"/>
  <c r="E235" i="12"/>
  <c r="F235" i="12"/>
  <c r="G235" i="12"/>
  <c r="C235" i="12"/>
  <c r="D235" i="12"/>
  <c r="F236" i="12"/>
  <c r="C236" i="12"/>
  <c r="D236" i="12"/>
  <c r="H236" i="12"/>
  <c r="E236" i="12"/>
  <c r="G236" i="12"/>
  <c r="H237" i="12"/>
  <c r="F237" i="12"/>
  <c r="E237" i="12"/>
  <c r="C237" i="12"/>
  <c r="G237" i="12"/>
  <c r="D237" i="12"/>
  <c r="F238" i="12"/>
  <c r="D238" i="12"/>
  <c r="G238" i="12"/>
  <c r="C238" i="12"/>
  <c r="E238" i="12"/>
  <c r="H238" i="12"/>
  <c r="C239" i="12"/>
  <c r="H239" i="12"/>
  <c r="E239" i="12"/>
  <c r="D239" i="12"/>
  <c r="G239" i="12"/>
  <c r="F239" i="12"/>
  <c r="B243" i="12" l="1"/>
  <c r="B244" i="12" l="1"/>
  <c r="B245" i="12" l="1"/>
  <c r="B246" i="12" l="1"/>
  <c r="B247" i="12" l="1"/>
  <c r="B248" i="12" l="1"/>
  <c r="B249" i="12" l="1"/>
  <c r="B250" i="12" l="1"/>
  <c r="B251" i="12" l="1"/>
  <c r="B252" i="12" l="1"/>
  <c r="B253" i="12" l="1"/>
  <c r="B254" i="12" l="1"/>
  <c r="B255" i="12" l="1"/>
  <c r="B256" i="12" l="1"/>
  <c r="B257" i="12" l="1"/>
  <c r="B258" i="12" l="1"/>
  <c r="B259" i="12" l="1"/>
  <c r="B260" i="12" l="1"/>
  <c r="B261" i="12" l="1"/>
  <c r="B262" i="12" l="1"/>
  <c r="B263" i="12" l="1"/>
  <c r="B264" i="12" l="1"/>
  <c r="B265" i="12" l="1"/>
  <c r="B266" i="12" l="1"/>
  <c r="G265" i="12" s="1"/>
  <c r="D265" i="12" l="1"/>
  <c r="C265" i="12"/>
  <c r="F265" i="12"/>
  <c r="E265" i="12"/>
  <c r="B267" i="12"/>
  <c r="C242" i="12"/>
  <c r="G242" i="12"/>
  <c r="H242" i="12"/>
  <c r="D242" i="12"/>
  <c r="E242" i="12"/>
  <c r="F242" i="12"/>
  <c r="C243" i="12"/>
  <c r="H243" i="12"/>
  <c r="F243" i="12"/>
  <c r="G243" i="12"/>
  <c r="D243" i="12"/>
  <c r="E243" i="12"/>
  <c r="C244" i="12"/>
  <c r="H244" i="12"/>
  <c r="D244" i="12"/>
  <c r="E244" i="12"/>
  <c r="F244" i="12"/>
  <c r="G244" i="12"/>
  <c r="G245" i="12"/>
  <c r="C245" i="12"/>
  <c r="E245" i="12"/>
  <c r="D245" i="12"/>
  <c r="F245" i="12"/>
  <c r="H245" i="12"/>
  <c r="G246" i="12"/>
  <c r="H246" i="12"/>
  <c r="C246" i="12"/>
  <c r="D246" i="12"/>
  <c r="F246" i="12"/>
  <c r="E246" i="12"/>
  <c r="H247" i="12"/>
  <c r="D247" i="12"/>
  <c r="G247" i="12"/>
  <c r="C247" i="12"/>
  <c r="E247" i="12"/>
  <c r="F247" i="12"/>
  <c r="D248" i="12"/>
  <c r="E248" i="12"/>
  <c r="F248" i="12"/>
  <c r="G248" i="12"/>
  <c r="H248" i="12"/>
  <c r="C248" i="12"/>
  <c r="F249" i="12"/>
  <c r="E249" i="12"/>
  <c r="C249" i="12"/>
  <c r="D249" i="12"/>
  <c r="G249" i="12"/>
  <c r="H249" i="12"/>
  <c r="C250" i="12"/>
  <c r="G250" i="12"/>
  <c r="H250" i="12"/>
  <c r="D250" i="12"/>
  <c r="F250" i="12"/>
  <c r="E250" i="12"/>
  <c r="E251" i="12"/>
  <c r="F251" i="12"/>
  <c r="D251" i="12"/>
  <c r="C251" i="12"/>
  <c r="G251" i="12"/>
  <c r="H251" i="12"/>
  <c r="D252" i="12"/>
  <c r="E252" i="12"/>
  <c r="F252" i="12"/>
  <c r="G252" i="12"/>
  <c r="H252" i="12"/>
  <c r="C252" i="12"/>
  <c r="H253" i="12"/>
  <c r="C253" i="12"/>
  <c r="E253" i="12"/>
  <c r="G253" i="12"/>
  <c r="F253" i="12"/>
  <c r="D253" i="12"/>
  <c r="C254" i="12"/>
  <c r="G254" i="12"/>
  <c r="H254" i="12"/>
  <c r="D254" i="12"/>
  <c r="F254" i="12"/>
  <c r="E254" i="12"/>
  <c r="E255" i="12"/>
  <c r="H255" i="12"/>
  <c r="C255" i="12"/>
  <c r="D255" i="12"/>
  <c r="F255" i="12"/>
  <c r="G255" i="12"/>
  <c r="G256" i="12"/>
  <c r="H256" i="12"/>
  <c r="C256" i="12"/>
  <c r="D256" i="12"/>
  <c r="E256" i="12"/>
  <c r="F256" i="12"/>
  <c r="D257" i="12"/>
  <c r="C257" i="12"/>
  <c r="F257" i="12"/>
  <c r="E257" i="12"/>
  <c r="H257" i="12"/>
  <c r="G257" i="12"/>
  <c r="C258" i="12"/>
  <c r="F258" i="12"/>
  <c r="E258" i="12"/>
  <c r="G258" i="12"/>
  <c r="H258" i="12"/>
  <c r="D258" i="12"/>
  <c r="E259" i="12"/>
  <c r="D259" i="12"/>
  <c r="F259" i="12"/>
  <c r="G259" i="12"/>
  <c r="C259" i="12"/>
  <c r="H259" i="12"/>
  <c r="G260" i="12"/>
  <c r="H260" i="12"/>
  <c r="C260" i="12"/>
  <c r="D260" i="12"/>
  <c r="E260" i="12"/>
  <c r="F260" i="12"/>
  <c r="F261" i="12"/>
  <c r="E261" i="12"/>
  <c r="D261" i="12"/>
  <c r="G261" i="12"/>
  <c r="C261" i="12"/>
  <c r="H261" i="12"/>
  <c r="H262" i="12"/>
  <c r="G262" i="12"/>
  <c r="C262" i="12"/>
  <c r="D262" i="12"/>
  <c r="E262" i="12"/>
  <c r="F262" i="12"/>
  <c r="D263" i="12"/>
  <c r="C263" i="12"/>
  <c r="F263" i="12"/>
  <c r="E263" i="12"/>
  <c r="G263" i="12"/>
  <c r="H263" i="12"/>
  <c r="D264" i="12"/>
  <c r="E264" i="12"/>
  <c r="F264" i="12"/>
  <c r="G264" i="12"/>
  <c r="H264" i="12"/>
  <c r="C264" i="12"/>
  <c r="H265" i="12"/>
  <c r="B268" i="12" l="1"/>
  <c r="B269" i="12" l="1"/>
  <c r="B270" i="12" l="1"/>
  <c r="B271" i="12" l="1"/>
  <c r="B272" i="12" l="1"/>
  <c r="B273" i="12" l="1"/>
  <c r="B274" i="12" l="1"/>
  <c r="B275" i="12" l="1"/>
  <c r="B276" i="12" l="1"/>
  <c r="B277" i="12" l="1"/>
  <c r="B278" i="12" l="1"/>
  <c r="B279" i="12" l="1"/>
  <c r="B280" i="12" l="1"/>
  <c r="B281" i="12" l="1"/>
  <c r="B282" i="12" l="1"/>
  <c r="B283" i="12" l="1"/>
  <c r="B284" i="12" l="1"/>
  <c r="B285" i="12" l="1"/>
  <c r="B286" i="12" l="1"/>
  <c r="B287" i="12" l="1"/>
  <c r="B288" i="12" l="1"/>
  <c r="B289" i="12" l="1"/>
  <c r="B290" i="12" l="1"/>
  <c r="B291" i="12" l="1"/>
  <c r="D290" i="12" s="1"/>
  <c r="F290" i="12" l="1"/>
  <c r="H290" i="12"/>
  <c r="C267" i="12"/>
  <c r="H267" i="12"/>
  <c r="D267" i="12"/>
  <c r="E267" i="12"/>
  <c r="F267" i="12"/>
  <c r="G267" i="12"/>
  <c r="C268" i="12"/>
  <c r="H268" i="12"/>
  <c r="F268" i="12"/>
  <c r="G268" i="12"/>
  <c r="E268" i="12"/>
  <c r="D268" i="12"/>
  <c r="G269" i="12"/>
  <c r="F269" i="12"/>
  <c r="C269" i="12"/>
  <c r="D269" i="12"/>
  <c r="H269" i="12"/>
  <c r="E269" i="12"/>
  <c r="E270" i="12"/>
  <c r="G270" i="12"/>
  <c r="H270" i="12"/>
  <c r="F270" i="12"/>
  <c r="D270" i="12"/>
  <c r="C270" i="12"/>
  <c r="G271" i="12"/>
  <c r="F271" i="12"/>
  <c r="C271" i="12"/>
  <c r="D271" i="12"/>
  <c r="H271" i="12"/>
  <c r="E271" i="12"/>
  <c r="E272" i="12"/>
  <c r="G272" i="12"/>
  <c r="H272" i="12"/>
  <c r="C272" i="12"/>
  <c r="D272" i="12"/>
  <c r="F272" i="12"/>
  <c r="F273" i="12"/>
  <c r="C273" i="12"/>
  <c r="H273" i="12"/>
  <c r="E273" i="12"/>
  <c r="D273" i="12"/>
  <c r="G273" i="12"/>
  <c r="H274" i="12"/>
  <c r="D274" i="12"/>
  <c r="C274" i="12"/>
  <c r="F274" i="12"/>
  <c r="E274" i="12"/>
  <c r="G274" i="12"/>
  <c r="H275" i="12"/>
  <c r="D275" i="12"/>
  <c r="E275" i="12"/>
  <c r="G275" i="12"/>
  <c r="C275" i="12"/>
  <c r="F275" i="12"/>
  <c r="D276" i="12"/>
  <c r="G276" i="12"/>
  <c r="E276" i="12"/>
  <c r="H276" i="12"/>
  <c r="F276" i="12"/>
  <c r="C276" i="12"/>
  <c r="D277" i="12"/>
  <c r="E277" i="12"/>
  <c r="G277" i="12"/>
  <c r="F277" i="12"/>
  <c r="C277" i="12"/>
  <c r="H277" i="12"/>
  <c r="D278" i="12"/>
  <c r="G278" i="12"/>
  <c r="E278" i="12"/>
  <c r="H278" i="12"/>
  <c r="F278" i="12"/>
  <c r="C278" i="12"/>
  <c r="C279" i="12"/>
  <c r="H279" i="12"/>
  <c r="D279" i="12"/>
  <c r="E279" i="12"/>
  <c r="G279" i="12"/>
  <c r="F279" i="12"/>
  <c r="C280" i="12"/>
  <c r="H280" i="12"/>
  <c r="F280" i="12"/>
  <c r="G280" i="12"/>
  <c r="E280" i="12"/>
  <c r="D280" i="12"/>
  <c r="F281" i="12"/>
  <c r="C281" i="12"/>
  <c r="H281" i="12"/>
  <c r="D281" i="12"/>
  <c r="E281" i="12"/>
  <c r="G281" i="12"/>
  <c r="D282" i="12"/>
  <c r="G282" i="12"/>
  <c r="E282" i="12"/>
  <c r="H282" i="12"/>
  <c r="C282" i="12"/>
  <c r="F282" i="12"/>
  <c r="G283" i="12"/>
  <c r="F283" i="12"/>
  <c r="C283" i="12"/>
  <c r="D283" i="12"/>
  <c r="H283" i="12"/>
  <c r="E283" i="12"/>
  <c r="D284" i="12"/>
  <c r="G284" i="12"/>
  <c r="E284" i="12"/>
  <c r="H284" i="12"/>
  <c r="C284" i="12"/>
  <c r="F284" i="12"/>
  <c r="F285" i="12"/>
  <c r="C285" i="12"/>
  <c r="H285" i="12"/>
  <c r="D285" i="12"/>
  <c r="G285" i="12"/>
  <c r="E285" i="12"/>
  <c r="F286" i="12"/>
  <c r="H286" i="12"/>
  <c r="C286" i="12"/>
  <c r="G286" i="12"/>
  <c r="E286" i="12"/>
  <c r="D286" i="12"/>
  <c r="H287" i="12"/>
  <c r="D287" i="12"/>
  <c r="F287" i="12"/>
  <c r="E287" i="12"/>
  <c r="G287" i="12"/>
  <c r="C287" i="12"/>
  <c r="D288" i="12"/>
  <c r="G288" i="12"/>
  <c r="E288" i="12"/>
  <c r="H288" i="12"/>
  <c r="F288" i="12"/>
  <c r="C288" i="12"/>
  <c r="D289" i="12"/>
  <c r="G289" i="12"/>
  <c r="F289" i="12"/>
  <c r="H289" i="12"/>
  <c r="C289" i="12"/>
  <c r="E289" i="12"/>
  <c r="E290" i="12"/>
  <c r="G290" i="12"/>
  <c r="C290" i="12"/>
</calcChain>
</file>

<file path=xl/sharedStrings.xml><?xml version="1.0" encoding="utf-8"?>
<sst xmlns="http://schemas.openxmlformats.org/spreadsheetml/2006/main" count="575" uniqueCount="393">
  <si>
    <t>Cond-1</t>
  </si>
  <si>
    <t>Cond-2</t>
  </si>
  <si>
    <t>Cond-3</t>
  </si>
  <si>
    <t>Cond-4</t>
  </si>
  <si>
    <t>Cond-5</t>
  </si>
  <si>
    <t>Cond-6</t>
  </si>
  <si>
    <t>DESIGN OF SLAB</t>
  </si>
  <si>
    <t>Default Values</t>
  </si>
  <si>
    <t>Following are the default values considered in the Design unless separate input values are given</t>
  </si>
  <si>
    <t xml:space="preserve">Item </t>
  </si>
  <si>
    <t>Input value (if any)</t>
  </si>
  <si>
    <r>
      <t>Grade of Concrete in N/mm</t>
    </r>
    <r>
      <rPr>
        <vertAlign val="superscript"/>
        <sz val="10"/>
        <rFont val="Arial"/>
        <family val="2"/>
      </rPr>
      <t>2</t>
    </r>
  </si>
  <si>
    <t xml:space="preserve">Clear cover to the main reinforcement </t>
  </si>
  <si>
    <t>Support Condition</t>
  </si>
  <si>
    <t xml:space="preserve">  Lx </t>
  </si>
  <si>
    <t xml:space="preserve">Continuous </t>
  </si>
  <si>
    <t>Upper side</t>
  </si>
  <si>
    <t>Lower side</t>
  </si>
  <si>
    <t>Left side</t>
  </si>
  <si>
    <t>Right side</t>
  </si>
  <si>
    <t>1 if Yes and 2 if No</t>
  </si>
  <si>
    <t>Long side Ly</t>
  </si>
  <si>
    <t>Short side Lx</t>
  </si>
  <si>
    <t>Index</t>
  </si>
  <si>
    <t>Cond-7</t>
  </si>
  <si>
    <t>All edges discontinuous</t>
  </si>
  <si>
    <t>All edges  continuous</t>
  </si>
  <si>
    <t>Two long edges discontinuous</t>
  </si>
  <si>
    <t>Two short edges discontinuous</t>
  </si>
  <si>
    <t>Two adjacent edges discontinuous</t>
  </si>
  <si>
    <t>Only one long edge discontinuous</t>
  </si>
  <si>
    <t>Cond-8</t>
  </si>
  <si>
    <t>Only one short edge discontinuous</t>
  </si>
  <si>
    <t>Only one short edge continuous</t>
  </si>
  <si>
    <t>Cond-9</t>
  </si>
  <si>
    <t>Only one long edge continuous</t>
  </si>
  <si>
    <t>Intermediate level summation as nested logical function "if" more than 7 level is not valid</t>
  </si>
  <si>
    <t>INDEX CALCULATION FOR SUPPORT CONDITION</t>
  </si>
  <si>
    <t>Index for the slab panel under consideration</t>
  </si>
  <si>
    <t>Error</t>
  </si>
  <si>
    <t>Edges</t>
  </si>
  <si>
    <t>Upper edge</t>
  </si>
  <si>
    <t>Lower edge</t>
  </si>
  <si>
    <t>Left edge</t>
  </si>
  <si>
    <t>Right edge</t>
  </si>
  <si>
    <t>Long Sides</t>
  </si>
  <si>
    <t>Short Sides</t>
  </si>
  <si>
    <t>Ratio (Ly/Lx) reference number calculated as (ratio - 1)x10 for short span co-eff and 11 for long span coeff.</t>
  </si>
  <si>
    <t>Negative Moment Coefficients at Continuous Support</t>
  </si>
  <si>
    <t>Positive Moment Coefficients at Mid Span</t>
  </si>
  <si>
    <t xml:space="preserve">Bending Moment Coefficients Calculation as per IS 456- 2000 for rectangular panels </t>
  </si>
  <si>
    <t>Ratio (Ly/Lx) of the panel to be designed</t>
  </si>
  <si>
    <t>Ratio reference number for picking up the co-eff=</t>
  </si>
  <si>
    <t xml:space="preserve">Support Condition </t>
  </si>
  <si>
    <t>Short Span Coeff</t>
  </si>
  <si>
    <t>span (+ve) moment</t>
  </si>
  <si>
    <t>supp't (-ve) moment</t>
  </si>
  <si>
    <t>Coefficients are:-</t>
  </si>
  <si>
    <t>Long Span Coeff</t>
  </si>
  <si>
    <t>Span ratio Ly / Lx =</t>
  </si>
  <si>
    <t>m</t>
  </si>
  <si>
    <t>mm</t>
  </si>
  <si>
    <t xml:space="preserve">Clear cover to main reinf. </t>
  </si>
  <si>
    <t>A. DIMENSIONS</t>
  </si>
  <si>
    <t>Density of reinforced concrete</t>
  </si>
  <si>
    <r>
      <t>N/mm</t>
    </r>
    <r>
      <rPr>
        <vertAlign val="superscript"/>
        <sz val="10"/>
        <rFont val="Arial"/>
        <family val="2"/>
      </rPr>
      <t>2</t>
    </r>
  </si>
  <si>
    <r>
      <t xml:space="preserve">Longer span: </t>
    </r>
    <r>
      <rPr>
        <b/>
        <sz val="10"/>
        <rFont val="Arial"/>
        <family val="2"/>
      </rPr>
      <t xml:space="preserve"> Ly</t>
    </r>
    <r>
      <rPr>
        <sz val="10"/>
        <rFont val="Arial"/>
        <family val="2"/>
      </rPr>
      <t xml:space="preserve"> =</t>
    </r>
  </si>
  <si>
    <r>
      <t xml:space="preserve">Shorter span : </t>
    </r>
    <r>
      <rPr>
        <b/>
        <sz val="10"/>
        <rFont val="Arial"/>
        <family val="2"/>
      </rPr>
      <t>Lx</t>
    </r>
    <r>
      <rPr>
        <sz val="10"/>
        <rFont val="Arial"/>
        <family val="2"/>
      </rPr>
      <t>=</t>
    </r>
  </si>
  <si>
    <r>
      <t xml:space="preserve">Thickness of the slab : </t>
    </r>
    <r>
      <rPr>
        <b/>
        <sz val="10"/>
        <rFont val="Arial"/>
        <family val="2"/>
      </rPr>
      <t>T</t>
    </r>
  </si>
  <si>
    <r>
      <t xml:space="preserve">Grade of Concrete : </t>
    </r>
    <r>
      <rPr>
        <b/>
        <sz val="10"/>
        <rFont val="Arial"/>
        <family val="2"/>
      </rPr>
      <t>fck</t>
    </r>
  </si>
  <si>
    <r>
      <t xml:space="preserve">Grade of Reinforcement Steel : </t>
    </r>
    <r>
      <rPr>
        <b/>
        <sz val="10"/>
        <rFont val="Arial"/>
        <family val="2"/>
      </rPr>
      <t>fy</t>
    </r>
  </si>
  <si>
    <t>C. MATERIAL</t>
  </si>
  <si>
    <t>B. INPUT FOR SUPPORT CONDITION</t>
  </si>
  <si>
    <t>Self weight of slab</t>
  </si>
  <si>
    <t xml:space="preserve">Finish on the slab </t>
  </si>
  <si>
    <t>Other load ( if any)</t>
  </si>
  <si>
    <r>
      <t xml:space="preserve">Total </t>
    </r>
    <r>
      <rPr>
        <b/>
        <sz val="10"/>
        <rFont val="Arial"/>
        <family val="2"/>
      </rPr>
      <t>Ultimate</t>
    </r>
    <r>
      <rPr>
        <sz val="10"/>
        <rFont val="Arial"/>
        <family val="2"/>
      </rPr>
      <t xml:space="preserve"> UDL : 1.5(DL + LL) </t>
    </r>
  </si>
  <si>
    <t>D. LOADING</t>
  </si>
  <si>
    <r>
      <t xml:space="preserve">Total Dead Load : </t>
    </r>
    <r>
      <rPr>
        <b/>
        <sz val="10"/>
        <rFont val="Arial"/>
        <family val="2"/>
      </rPr>
      <t>DL</t>
    </r>
  </si>
  <si>
    <r>
      <t xml:space="preserve">Live Load : </t>
    </r>
    <r>
      <rPr>
        <b/>
        <sz val="10"/>
        <rFont val="Arial"/>
        <family val="2"/>
      </rPr>
      <t>LL</t>
    </r>
  </si>
  <si>
    <r>
      <t xml:space="preserve">Total UDL :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 =DL + LL </t>
    </r>
  </si>
  <si>
    <r>
      <t xml:space="preserve">Effective depth : </t>
    </r>
    <r>
      <rPr>
        <b/>
        <sz val="10"/>
        <rFont val="Arial"/>
        <family val="2"/>
      </rPr>
      <t xml:space="preserve">deff </t>
    </r>
    <r>
      <rPr>
        <sz val="10"/>
        <rFont val="Arial"/>
        <family val="2"/>
      </rPr>
      <t>in mm</t>
    </r>
  </si>
  <si>
    <t>Long Span</t>
  </si>
  <si>
    <t>Short Span</t>
  </si>
  <si>
    <t>at span</t>
  </si>
  <si>
    <t>at support</t>
  </si>
  <si>
    <t xml:space="preserve">at span </t>
  </si>
  <si>
    <t>Moment Coeff.</t>
  </si>
  <si>
    <r>
      <t xml:space="preserve">Ult. Moment: </t>
    </r>
    <r>
      <rPr>
        <b/>
        <sz val="10"/>
        <rFont val="Arial"/>
        <family val="2"/>
      </rPr>
      <t>Mu</t>
    </r>
    <r>
      <rPr>
        <sz val="10"/>
        <rFont val="Arial"/>
        <family val="2"/>
      </rPr>
      <t xml:space="preserve"> in Kn-m</t>
    </r>
  </si>
  <si>
    <t>Required Ast (mm^2)</t>
  </si>
  <si>
    <r>
      <t>Grade of Reinforcement Steel in N/mm</t>
    </r>
    <r>
      <rPr>
        <vertAlign val="superscript"/>
        <sz val="10"/>
        <rFont val="Arial"/>
        <family val="2"/>
      </rPr>
      <t>2</t>
    </r>
  </si>
  <si>
    <t>SUPPORTING CALCULATION</t>
  </si>
  <si>
    <t>Maximum Moment =</t>
  </si>
  <si>
    <t>Width of the section =</t>
  </si>
  <si>
    <t>Kn-m</t>
  </si>
  <si>
    <t>Depth of the section =</t>
  </si>
  <si>
    <t>Clear cover to main reinf. =</t>
  </si>
  <si>
    <t>N/mm2</t>
  </si>
  <si>
    <t>Calculation of Ultimate moment of resistance of the singly reinforced balanced section</t>
  </si>
  <si>
    <t>Effective depth of the section=</t>
  </si>
  <si>
    <t>Mul= 0.36 x fck x b x Xul x (d-0.416. Xul)</t>
  </si>
  <si>
    <r>
      <t xml:space="preserve">Computation of depth of neutral axis for balanced section = </t>
    </r>
    <r>
      <rPr>
        <b/>
        <sz val="10"/>
        <rFont val="Arial"/>
        <family val="2"/>
      </rPr>
      <t>Xul</t>
    </r>
  </si>
  <si>
    <t>strain of concrete = 0.0035</t>
  </si>
  <si>
    <t>strain of steel = 0.002+fy/Es</t>
  </si>
  <si>
    <t>STRAIN DIAGRAM</t>
  </si>
  <si>
    <t>=</t>
  </si>
  <si>
    <t>Elastic Modulus of steel = Es=</t>
  </si>
  <si>
    <t>Grade of Steel = fy=</t>
  </si>
  <si>
    <t>x d</t>
  </si>
  <si>
    <t>Grade of Concrete= fck=</t>
  </si>
  <si>
    <t xml:space="preserve">Mul = </t>
  </si>
  <si>
    <t>Remarks:-</t>
  </si>
  <si>
    <t>Ultimate Moments in Kn-m</t>
  </si>
  <si>
    <t>Calculation of neutral axis = Xu</t>
  </si>
  <si>
    <t>Sqrt(1.4446-6.67735x Mu/(fck b d^2))</t>
  </si>
  <si>
    <t>1.202+Sqrt(1.4446-6.67735x Mu/(fck b d^2))</t>
  </si>
  <si>
    <t>1.202-Sqrt(1.4446-6.67735x Mu/(fck b d^2))</t>
  </si>
  <si>
    <t>Xu/d =</t>
  </si>
  <si>
    <t>Xu=</t>
  </si>
  <si>
    <t>Ast=</t>
  </si>
  <si>
    <t>Minimum Ast (mm^2)</t>
  </si>
  <si>
    <t>Design reinforcement</t>
  </si>
  <si>
    <t>Diameter of the bar</t>
  </si>
  <si>
    <t>Required spacing</t>
  </si>
  <si>
    <t>Allowable max spacing</t>
  </si>
  <si>
    <t>Spacing provided</t>
  </si>
  <si>
    <t>Allowable min spacing</t>
  </si>
  <si>
    <t>Check</t>
  </si>
  <si>
    <t>E. DESIGN</t>
  </si>
  <si>
    <t>Decision :-</t>
  </si>
  <si>
    <t>Diameter proposed by Designer</t>
  </si>
  <si>
    <t>Default diameter</t>
  </si>
  <si>
    <t>Diameter consudered for cal</t>
  </si>
  <si>
    <t>Effective depth in mm</t>
  </si>
  <si>
    <t>FINAL OUTPUT</t>
  </si>
  <si>
    <t>Longer span : Ly</t>
  </si>
  <si>
    <t>Shorter span :Lx</t>
  </si>
  <si>
    <t>{REFERENCE : Clauses 24.4 &amp; 37.1.2 and Annexure-D of  IS 456:2000}</t>
  </si>
  <si>
    <t xml:space="preserve">This is a </t>
  </si>
  <si>
    <t>way slab</t>
  </si>
  <si>
    <t>Deflection for two way slab</t>
  </si>
  <si>
    <t>{Reference : Clause 23,23.2.1, 24.1, 42.1, Annexure-C and Chapter-5 of "Reinforced Concrete Design" By S.N.Sinha }</t>
  </si>
  <si>
    <t>Span / depth</t>
  </si>
  <si>
    <t>Allowable</t>
  </si>
  <si>
    <t>Continuous slab</t>
  </si>
  <si>
    <t>Simply Supported slab</t>
  </si>
  <si>
    <t>Area of steel required</t>
  </si>
  <si>
    <t>Diameter of bar provided</t>
  </si>
  <si>
    <t>Area of steel provided</t>
  </si>
  <si>
    <t>Ratio of Ast(reqd) / Ast(provided)</t>
  </si>
  <si>
    <t>Above allowable ratio to be modified as per reinforcent of slab</t>
  </si>
  <si>
    <t>Maximum Span reinforcement</t>
  </si>
  <si>
    <t>Modification Factor = MF</t>
  </si>
  <si>
    <t>Modified Value</t>
  </si>
  <si>
    <t>for Fe 415</t>
  </si>
  <si>
    <t>for stress</t>
  </si>
  <si>
    <t xml:space="preserve">required </t>
  </si>
  <si>
    <t>deff</t>
  </si>
  <si>
    <t>Applicable</t>
  </si>
  <si>
    <t>for</t>
  </si>
  <si>
    <t>all other</t>
  </si>
  <si>
    <t xml:space="preserve">Applicable for this slab </t>
  </si>
  <si>
    <t>Support condition</t>
  </si>
  <si>
    <t>Eff depth reqd from deflection point of view</t>
  </si>
  <si>
    <t>Overall depth required</t>
  </si>
  <si>
    <t>In case of balanced section=  Mu/bd^2=</t>
  </si>
  <si>
    <t>as Xul/d =</t>
  </si>
  <si>
    <t>Allowable span to effective depth ratio</t>
  </si>
  <si>
    <t>Effective depth required (d1)</t>
  </si>
  <si>
    <t>Effective depth required (d2)</t>
  </si>
  <si>
    <t>(as starting assume modification factor as 1.5)</t>
  </si>
  <si>
    <t>Required thickness (to start with)</t>
  </si>
  <si>
    <t>F. DEFLECTION CHECK</t>
  </si>
  <si>
    <t>Maximum allowable span to depth ratio with modification Factor=</t>
  </si>
  <si>
    <t>Actual span to effective depth =</t>
  </si>
  <si>
    <t>(Actual)</t>
  </si>
  <si>
    <t>Error Message on Input Data (if any)</t>
  </si>
  <si>
    <t>A. Dimensions</t>
  </si>
  <si>
    <t>B. Support Condition</t>
  </si>
  <si>
    <t>D. Loading</t>
  </si>
  <si>
    <t>Final Status</t>
  </si>
  <si>
    <t>Legend:-</t>
  </si>
  <si>
    <t>: To give input</t>
  </si>
  <si>
    <t>(OK)</t>
  </si>
  <si>
    <t>CHECK FOR CRACK WIDTH</t>
  </si>
  <si>
    <t>Max moment acting on the element</t>
  </si>
  <si>
    <t>kNm</t>
  </si>
  <si>
    <r>
      <t>Instantaneous modulus of elasticity   E</t>
    </r>
    <r>
      <rPr>
        <vertAlign val="subscript"/>
        <sz val="10"/>
        <rFont val="Arial"/>
        <family val="2"/>
      </rPr>
      <t xml:space="preserve">c </t>
    </r>
    <r>
      <rPr>
        <sz val="10"/>
        <rFont val="Arial"/>
        <family val="2"/>
      </rPr>
      <t xml:space="preserve"> =</t>
    </r>
  </si>
  <si>
    <r>
      <t>kN/mm</t>
    </r>
    <r>
      <rPr>
        <vertAlign val="superscript"/>
        <sz val="10"/>
        <rFont val="Arial"/>
        <family val="2"/>
      </rPr>
      <t>2</t>
    </r>
  </si>
  <si>
    <t>Modular Ratio m  =</t>
  </si>
  <si>
    <t>Es</t>
  </si>
  <si>
    <t>Ec</t>
  </si>
  <si>
    <t>Ast  =</t>
  </si>
  <si>
    <r>
      <t>mm</t>
    </r>
    <r>
      <rPr>
        <vertAlign val="superscript"/>
        <sz val="12"/>
        <rFont val="Tekton"/>
        <family val="2"/>
      </rPr>
      <t>2</t>
    </r>
  </si>
  <si>
    <t>Asc  =</t>
  </si>
  <si>
    <t>p      =</t>
  </si>
  <si>
    <t>p'      =</t>
  </si>
  <si>
    <t>The neutral axis is given by</t>
  </si>
  <si>
    <t>Hence x  =</t>
  </si>
  <si>
    <t>(Taking compression steel into account)</t>
  </si>
  <si>
    <t>mm.</t>
  </si>
  <si>
    <t>Icr   =</t>
  </si>
  <si>
    <t>b*x^3/3 +(1.5*m-1)Asc(x-d')^2+mAst(d-x)^2</t>
  </si>
  <si>
    <t>mm^3</t>
  </si>
  <si>
    <t>The stress in the reinforcement</t>
  </si>
  <si>
    <t>fs              =</t>
  </si>
  <si>
    <t>Position</t>
  </si>
  <si>
    <t>y</t>
  </si>
  <si>
    <r>
      <t>a</t>
    </r>
    <r>
      <rPr>
        <vertAlign val="subscript"/>
        <sz val="10"/>
        <rFont val="Arial"/>
        <family val="2"/>
      </rPr>
      <t>cr</t>
    </r>
    <r>
      <rPr>
        <sz val="10"/>
        <rFont val="Arial"/>
        <family val="2"/>
      </rPr>
      <t xml:space="preserve"> </t>
    </r>
  </si>
  <si>
    <r>
      <t>a</t>
    </r>
    <r>
      <rPr>
        <vertAlign val="superscript"/>
        <sz val="10"/>
        <rFont val="Arial"/>
        <family val="2"/>
      </rPr>
      <t>1</t>
    </r>
  </si>
  <si>
    <r>
      <t xml:space="preserve">e1  </t>
    </r>
    <r>
      <rPr>
        <sz val="10"/>
        <rFont val="Arial"/>
        <family val="2"/>
      </rPr>
      <t>x10</t>
    </r>
    <r>
      <rPr>
        <vertAlign val="superscript"/>
        <sz val="10"/>
        <rFont val="Arial"/>
        <family val="2"/>
      </rPr>
      <t>-3</t>
    </r>
  </si>
  <si>
    <r>
      <t xml:space="preserve">e2  </t>
    </r>
    <r>
      <rPr>
        <sz val="10"/>
        <rFont val="Arial"/>
        <family val="2"/>
      </rPr>
      <t>x10</t>
    </r>
    <r>
      <rPr>
        <vertAlign val="superscript"/>
        <sz val="10"/>
        <rFont val="Arial"/>
        <family val="2"/>
      </rPr>
      <t>-3</t>
    </r>
  </si>
  <si>
    <r>
      <t xml:space="preserve">Hence </t>
    </r>
    <r>
      <rPr>
        <sz val="10"/>
        <rFont val="Symbol"/>
        <family val="1"/>
        <charset val="2"/>
      </rPr>
      <t>e</t>
    </r>
    <r>
      <rPr>
        <vertAlign val="subscript"/>
        <sz val="10"/>
        <rFont val="Arial"/>
        <family val="2"/>
      </rPr>
      <t>m     =</t>
    </r>
  </si>
  <si>
    <r>
      <t xml:space="preserve">e1  </t>
    </r>
    <r>
      <rPr>
        <sz val="10"/>
        <rFont val="Arial"/>
        <family val="2"/>
      </rPr>
      <t>x10</t>
    </r>
    <r>
      <rPr>
        <vertAlign val="superscript"/>
        <sz val="10"/>
        <rFont val="Arial"/>
        <family val="2"/>
      </rPr>
      <t xml:space="preserve">-3     </t>
    </r>
    <r>
      <rPr>
        <sz val="10"/>
        <rFont val="Arial"/>
        <family val="2"/>
      </rPr>
      <t xml:space="preserve"> -</t>
    </r>
  </si>
  <si>
    <t>for position 1</t>
  </si>
  <si>
    <t>for position 2</t>
  </si>
  <si>
    <t>Crack width  =</t>
  </si>
  <si>
    <t>For position 1</t>
  </si>
  <si>
    <t>For position 2</t>
  </si>
  <si>
    <t>Bill of Quantity</t>
  </si>
  <si>
    <t>Volume of Concrete Used  =</t>
  </si>
  <si>
    <r>
      <t>m</t>
    </r>
    <r>
      <rPr>
        <vertAlign val="superscript"/>
        <sz val="10"/>
        <rFont val="Arial"/>
        <family val="2"/>
      </rPr>
      <t>3</t>
    </r>
  </si>
  <si>
    <t>Shear Check for Slab as IS 456 : 2000</t>
  </si>
  <si>
    <t>Longer side of the panel = Ly =</t>
  </si>
  <si>
    <t>Shorter side of the panel = Lx =</t>
  </si>
  <si>
    <t>Ultimate UDL = Wult=</t>
  </si>
  <si>
    <t>Kn/m^2</t>
  </si>
  <si>
    <t>Area=</t>
  </si>
  <si>
    <t>m^2</t>
  </si>
  <si>
    <t xml:space="preserve">Area = </t>
  </si>
  <si>
    <t>Shear Force along the longer side of the panel</t>
  </si>
  <si>
    <t>Total Trapizoidal load =</t>
  </si>
  <si>
    <t>Kn</t>
  </si>
  <si>
    <t>Ultimate load / m run =</t>
  </si>
  <si>
    <t>Kn/m</t>
  </si>
  <si>
    <t>Shear Force along the shorter side of the panel</t>
  </si>
  <si>
    <t>Total Triangular load =</t>
  </si>
  <si>
    <t>Design ult. shear force : Vu=</t>
  </si>
  <si>
    <t>Actual shear stress =</t>
  </si>
  <si>
    <r>
      <t>N/mm</t>
    </r>
    <r>
      <rPr>
        <b/>
        <vertAlign val="superscript"/>
        <sz val="10"/>
        <rFont val="Arial"/>
        <family val="2"/>
      </rPr>
      <t>2</t>
    </r>
  </si>
  <si>
    <t>Calculation of allowable shear stress</t>
  </si>
  <si>
    <t>Diameter of the bar =</t>
  </si>
  <si>
    <t>Spacing of the bars in mm=</t>
  </si>
  <si>
    <t>Area of steel provided in mm^2=</t>
  </si>
  <si>
    <t>Percentage of reinforcement=</t>
  </si>
  <si>
    <t>Respective pt for shear =</t>
  </si>
  <si>
    <t>%</t>
  </si>
  <si>
    <r>
      <t>t</t>
    </r>
    <r>
      <rPr>
        <b/>
        <vertAlign val="subscript"/>
        <sz val="8"/>
        <color indexed="17"/>
        <rFont val="Arial"/>
        <family val="2"/>
      </rPr>
      <t>a</t>
    </r>
    <r>
      <rPr>
        <b/>
        <sz val="8"/>
        <color indexed="17"/>
        <rFont val="Arial"/>
        <family val="2"/>
      </rPr>
      <t xml:space="preserve"> (N/mm</t>
    </r>
    <r>
      <rPr>
        <b/>
        <vertAlign val="superscript"/>
        <sz val="8"/>
        <color indexed="17"/>
        <rFont val="Arial"/>
        <family val="2"/>
      </rPr>
      <t>2</t>
    </r>
    <r>
      <rPr>
        <b/>
        <sz val="8"/>
        <color indexed="17"/>
        <rFont val="Arial"/>
        <family val="2"/>
      </rPr>
      <t>)</t>
    </r>
  </si>
  <si>
    <t>TABLE-19</t>
  </si>
  <si>
    <t>Grade of Concrete</t>
  </si>
  <si>
    <t>Reinf. Percentage</t>
  </si>
  <si>
    <t>Grade reference</t>
  </si>
  <si>
    <t>Allowable stress</t>
  </si>
  <si>
    <t>Grade of concrete, N/mm^2</t>
  </si>
  <si>
    <t>Design shear strength of conc.</t>
  </si>
  <si>
    <t>G. SHEAR CHECK</t>
  </si>
  <si>
    <t>Design Shear Vu Kn/m</t>
  </si>
  <si>
    <t>Actual stress N/mm^2</t>
  </si>
  <si>
    <t>Design shear strength</t>
  </si>
  <si>
    <t>Deflection Check for Slab as per IS 456:2000</t>
  </si>
  <si>
    <t>Total Deflection = Short term Deflection + Long Term Deflection</t>
  </si>
  <si>
    <t xml:space="preserve">Short Term Deflection </t>
  </si>
  <si>
    <r>
      <t>Elastic Deflection</t>
    </r>
    <r>
      <rPr>
        <sz val="10"/>
        <rFont val="Arial"/>
        <family val="2"/>
      </rPr>
      <t xml:space="preserve"> calculated by usual Methods using </t>
    </r>
    <r>
      <rPr>
        <b/>
        <i/>
        <sz val="10"/>
        <rFont val="Arial"/>
        <family val="2"/>
      </rPr>
      <t>Ec</t>
    </r>
    <r>
      <rPr>
        <sz val="10"/>
        <rFont val="Arial"/>
        <family val="2"/>
      </rPr>
      <t xml:space="preserve"> and </t>
    </r>
    <r>
      <rPr>
        <b/>
        <i/>
        <sz val="10"/>
        <rFont val="Arial"/>
        <family val="2"/>
      </rPr>
      <t>Ie</t>
    </r>
  </si>
  <si>
    <t>Effective Moment of Inertia Ie</t>
  </si>
  <si>
    <t>Short Term Modulus of Elasticity of Concrete Ec</t>
  </si>
  <si>
    <r>
      <t>mm</t>
    </r>
    <r>
      <rPr>
        <vertAlign val="superscript"/>
        <sz val="10"/>
        <rFont val="Arial"/>
        <family val="2"/>
      </rPr>
      <t>4</t>
    </r>
  </si>
  <si>
    <r>
      <t xml:space="preserve">Calculation of </t>
    </r>
    <r>
      <rPr>
        <b/>
        <i/>
        <sz val="10"/>
        <rFont val="Arial"/>
        <family val="2"/>
      </rPr>
      <t>Ie</t>
    </r>
  </si>
  <si>
    <t xml:space="preserve">Distance of extreme Tension fibre from </t>
  </si>
  <si>
    <r>
      <t xml:space="preserve">Modular Ratio </t>
    </r>
    <r>
      <rPr>
        <b/>
        <i/>
        <sz val="10"/>
        <rFont val="Arial"/>
        <family val="2"/>
      </rPr>
      <t>m</t>
    </r>
  </si>
  <si>
    <r>
      <t xml:space="preserve">Reinforcement Percentage  </t>
    </r>
    <r>
      <rPr>
        <b/>
        <i/>
        <sz val="10"/>
        <rFont val="Arial"/>
        <family val="2"/>
      </rPr>
      <t>p</t>
    </r>
  </si>
  <si>
    <r>
      <t xml:space="preserve">Neutral Axis from Top   </t>
    </r>
    <r>
      <rPr>
        <b/>
        <i/>
        <sz val="10"/>
        <rFont val="Arial"/>
        <family val="2"/>
      </rPr>
      <t>x</t>
    </r>
    <r>
      <rPr>
        <sz val="10"/>
        <rFont val="Arial"/>
        <family val="2"/>
      </rPr>
      <t xml:space="preserve">   </t>
    </r>
  </si>
  <si>
    <r>
      <t xml:space="preserve">M.O.I. of Cracked Section   </t>
    </r>
    <r>
      <rPr>
        <b/>
        <i/>
        <sz val="10"/>
        <rFont val="Arial"/>
        <family val="2"/>
      </rPr>
      <t>Icr</t>
    </r>
  </si>
  <si>
    <r>
      <t xml:space="preserve">M.O.I. of Uncracked Section   </t>
    </r>
    <r>
      <rPr>
        <b/>
        <i/>
        <sz val="10"/>
        <rFont val="Arial"/>
        <family val="2"/>
      </rPr>
      <t>Ig</t>
    </r>
  </si>
  <si>
    <r>
      <t xml:space="preserve">centroid of Section </t>
    </r>
    <r>
      <rPr>
        <b/>
        <i/>
        <sz val="10"/>
        <rFont val="Arial"/>
        <family val="2"/>
      </rPr>
      <t>Yt</t>
    </r>
  </si>
  <si>
    <r>
      <t xml:space="preserve">Cracking Moment of Section </t>
    </r>
    <r>
      <rPr>
        <b/>
        <i/>
        <sz val="10"/>
        <rFont val="Arial"/>
        <family val="2"/>
      </rPr>
      <t>Mcr</t>
    </r>
  </si>
  <si>
    <r>
      <t xml:space="preserve">Maximum Moment   </t>
    </r>
    <r>
      <rPr>
        <b/>
        <i/>
        <sz val="10"/>
        <rFont val="Arial"/>
        <family val="2"/>
      </rPr>
      <t>M</t>
    </r>
  </si>
  <si>
    <r>
      <t xml:space="preserve">Lever Arm  </t>
    </r>
    <r>
      <rPr>
        <b/>
        <i/>
        <sz val="10"/>
        <rFont val="Arial"/>
        <family val="2"/>
      </rPr>
      <t>Z</t>
    </r>
  </si>
  <si>
    <t>Ie</t>
  </si>
  <si>
    <t>Nmm</t>
  </si>
  <si>
    <t>End Conditions of Slab</t>
  </si>
  <si>
    <t>δc</t>
  </si>
  <si>
    <t>Hence</t>
  </si>
  <si>
    <t xml:space="preserve">Long Term Deflection </t>
  </si>
  <si>
    <t>δe</t>
  </si>
  <si>
    <r>
      <t>Deflection</t>
    </r>
    <r>
      <rPr>
        <sz val="10"/>
        <rFont val="Arial"/>
        <family val="2"/>
      </rPr>
      <t xml:space="preserve"> due to </t>
    </r>
    <r>
      <rPr>
        <b/>
        <i/>
        <sz val="10"/>
        <rFont val="Arial"/>
        <family val="2"/>
      </rPr>
      <t>Shrinkage</t>
    </r>
    <r>
      <rPr>
        <sz val="10"/>
        <rFont val="Arial"/>
        <family val="2"/>
      </rPr>
      <t xml:space="preserve"> and </t>
    </r>
    <r>
      <rPr>
        <b/>
        <i/>
        <sz val="10"/>
        <rFont val="Arial"/>
        <family val="2"/>
      </rPr>
      <t>Creep</t>
    </r>
  </si>
  <si>
    <r>
      <t xml:space="preserve">Deflection due to </t>
    </r>
    <r>
      <rPr>
        <b/>
        <i/>
        <sz val="10"/>
        <rFont val="Arial"/>
        <family val="2"/>
      </rPr>
      <t>Shrinkage</t>
    </r>
  </si>
  <si>
    <r>
      <t>a</t>
    </r>
    <r>
      <rPr>
        <b/>
        <vertAlign val="subscript"/>
        <sz val="10"/>
        <rFont val="Arial"/>
        <family val="2"/>
      </rPr>
      <t>cs</t>
    </r>
  </si>
  <si>
    <r>
      <t>k</t>
    </r>
    <r>
      <rPr>
        <b/>
        <vertAlign val="subscript"/>
        <sz val="10"/>
        <rFont val="Arial"/>
        <family val="2"/>
      </rPr>
      <t>3</t>
    </r>
  </si>
  <si>
    <r>
      <t>k</t>
    </r>
    <r>
      <rPr>
        <b/>
        <vertAlign val="subscript"/>
        <sz val="10"/>
        <rFont val="Arial"/>
        <family val="2"/>
      </rPr>
      <t>4</t>
    </r>
  </si>
  <si>
    <r>
      <t>ε</t>
    </r>
    <r>
      <rPr>
        <b/>
        <vertAlign val="subscript"/>
        <sz val="10"/>
        <rFont val="Arial"/>
        <family val="2"/>
      </rPr>
      <t>cs</t>
    </r>
  </si>
  <si>
    <r>
      <t>ψ</t>
    </r>
    <r>
      <rPr>
        <b/>
        <vertAlign val="subscript"/>
        <sz val="10"/>
        <rFont val="Arial"/>
        <family val="2"/>
      </rPr>
      <t>cs</t>
    </r>
  </si>
  <si>
    <r>
      <t xml:space="preserve">Deflection due to </t>
    </r>
    <r>
      <rPr>
        <b/>
        <i/>
        <sz val="10"/>
        <rFont val="Arial"/>
        <family val="2"/>
      </rPr>
      <t>Creep</t>
    </r>
  </si>
  <si>
    <r>
      <t>a</t>
    </r>
    <r>
      <rPr>
        <b/>
        <vertAlign val="subscript"/>
        <sz val="10"/>
        <rFont val="Arial"/>
        <family val="2"/>
      </rPr>
      <t>cc(perm)</t>
    </r>
  </si>
  <si>
    <r>
      <t>a</t>
    </r>
    <r>
      <rPr>
        <b/>
        <vertAlign val="subscript"/>
        <sz val="10"/>
        <rFont val="Arial"/>
        <family val="2"/>
      </rPr>
      <t xml:space="preserve">i,cc(perm) </t>
    </r>
    <r>
      <rPr>
        <b/>
        <sz val="10"/>
        <rFont val="Arial"/>
        <family val="2"/>
      </rPr>
      <t>- a</t>
    </r>
    <r>
      <rPr>
        <b/>
        <vertAlign val="subscript"/>
        <sz val="10"/>
        <rFont val="Arial"/>
        <family val="2"/>
      </rPr>
      <t>i(perm)</t>
    </r>
  </si>
  <si>
    <r>
      <t>a</t>
    </r>
    <r>
      <rPr>
        <b/>
        <vertAlign val="subscript"/>
        <sz val="10"/>
        <rFont val="Arial"/>
        <family val="2"/>
      </rPr>
      <t>i,cc(perm)</t>
    </r>
  </si>
  <si>
    <t>Initial plus Creep Deflection due to Permanent loads obtained using an Elastic Analysis with an effective Modulus of Elasticity.</t>
  </si>
  <si>
    <t>θ</t>
  </si>
  <si>
    <r>
      <t>E</t>
    </r>
    <r>
      <rPr>
        <b/>
        <vertAlign val="subscript"/>
        <sz val="10"/>
        <rFont val="Arial"/>
        <family val="2"/>
      </rPr>
      <t>ce</t>
    </r>
  </si>
  <si>
    <r>
      <t>a</t>
    </r>
    <r>
      <rPr>
        <b/>
        <vertAlign val="subscript"/>
        <sz val="10"/>
        <rFont val="Arial"/>
        <family val="2"/>
      </rPr>
      <t>i(perm)</t>
    </r>
  </si>
  <si>
    <t>Short Term Deflection due to Permanent load using Ec</t>
  </si>
  <si>
    <t>Combined Short Term and Long Term Deflection</t>
  </si>
  <si>
    <t>δ</t>
  </si>
  <si>
    <t>For one way slab</t>
  </si>
  <si>
    <t>Note:- In the rest of this program the Xu has been defined as lever arm of section at the middle of short span</t>
  </si>
  <si>
    <t>Note :For one way slab the co-efficients have been taken from Table-12 IS 456:2000, for live load as conservative approach.</t>
  </si>
  <si>
    <t>Shuttering</t>
  </si>
  <si>
    <t>Shuttering =</t>
  </si>
  <si>
    <t>Reinforcement calculation</t>
  </si>
  <si>
    <t>Length of the bar in m=</t>
  </si>
  <si>
    <t>distribution</t>
  </si>
  <si>
    <t>Number of the bar=</t>
  </si>
  <si>
    <t>Kg</t>
  </si>
  <si>
    <t>Kg/m^3</t>
  </si>
  <si>
    <t>ESTIMATION</t>
  </si>
  <si>
    <t>Sl. No.</t>
  </si>
  <si>
    <t>Item Description</t>
  </si>
  <si>
    <t>Unit</t>
  </si>
  <si>
    <t>Quantity</t>
  </si>
  <si>
    <t>Input Rate</t>
  </si>
  <si>
    <t>Default Rate</t>
  </si>
  <si>
    <t>Volume of concrete</t>
  </si>
  <si>
    <t>Reinforcement steel</t>
  </si>
  <si>
    <t>Cu.m</t>
  </si>
  <si>
    <t xml:space="preserve">Sq. m </t>
  </si>
  <si>
    <t xml:space="preserve">Total </t>
  </si>
  <si>
    <t>Amount(Rs.)</t>
  </si>
  <si>
    <t>Total per sq.m area</t>
  </si>
  <si>
    <t>TOTAL WEIGHT</t>
  </si>
  <si>
    <t>weight of steel per cubic m of concrete</t>
  </si>
  <si>
    <t>Weight of the bar in Kg/m=</t>
  </si>
  <si>
    <t>Weight of the bar in Kg=</t>
  </si>
  <si>
    <t>Show costing (Y/N)</t>
  </si>
  <si>
    <t>Coefficient for Deflection</t>
  </si>
  <si>
    <t>Deflection=coeff x wl^4/EI</t>
  </si>
  <si>
    <t>Support index of the slab under design =</t>
  </si>
  <si>
    <t>Coefficient for elastic deflection</t>
  </si>
  <si>
    <t>Equivalent uniform distributed load</t>
  </si>
  <si>
    <t>Actual deflection</t>
  </si>
  <si>
    <t xml:space="preserve">Elastic deflection </t>
  </si>
  <si>
    <t>Creep deflection =</t>
  </si>
  <si>
    <t>Shrinkagedeflection=</t>
  </si>
  <si>
    <t>Total deflection</t>
  </si>
  <si>
    <t>Permissible =L/250 mm</t>
  </si>
  <si>
    <t>Actual ratio</t>
  </si>
  <si>
    <r>
      <t xml:space="preserve">Modulus of Rupture  </t>
    </r>
    <r>
      <rPr>
        <b/>
        <i/>
        <sz val="10"/>
        <rFont val="Arial"/>
        <family val="2"/>
      </rPr>
      <t>fcr</t>
    </r>
  </si>
  <si>
    <t>Unfactored Total reaction of shorter span =</t>
  </si>
  <si>
    <t>Unfactored UDL (DL+LL)</t>
  </si>
  <si>
    <t>Value as considered</t>
  </si>
  <si>
    <r>
      <t>Elastic Modulus of reinf. Steel Es N/mm</t>
    </r>
    <r>
      <rPr>
        <vertAlign val="superscript"/>
        <sz val="10"/>
        <rFont val="Arial"/>
        <family val="2"/>
      </rPr>
      <t>2</t>
    </r>
  </si>
  <si>
    <r>
      <t>Elastic Modulus of Concrete Ec N/mm</t>
    </r>
    <r>
      <rPr>
        <vertAlign val="superscript"/>
        <sz val="10"/>
        <rFont val="Arial"/>
        <family val="2"/>
      </rPr>
      <t>2</t>
    </r>
  </si>
  <si>
    <t>Density of concrete in N/mm^3</t>
  </si>
  <si>
    <t>Modular ratio= Es/Ec</t>
  </si>
  <si>
    <t>Design Ratio = (for mid span in shorter direction)</t>
  </si>
  <si>
    <t>Stress in steel fs = 0.58fy x ratio (N/mm^2)</t>
  </si>
  <si>
    <t>Deflection Control</t>
  </si>
  <si>
    <t>Span Ratio</t>
  </si>
  <si>
    <t>Unfactored UDL for Dead Load =</t>
  </si>
  <si>
    <t>[(m^2(p+1.5p')^2 +2*m*(p+1.5*p'*d'/d))^.5 -m*(p+1.5*p')]d</t>
  </si>
  <si>
    <t>Calculation of Ig</t>
  </si>
  <si>
    <t>Total depth =</t>
  </si>
  <si>
    <t>Area of Steel Ast=</t>
  </si>
  <si>
    <t>Yt from top in mm=</t>
  </si>
  <si>
    <t>1/12*b*T^3=</t>
  </si>
  <si>
    <t>b*d*(Yt-T/2)^2</t>
  </si>
  <si>
    <t>(m-1)*Ast*(d-Yt)^2</t>
  </si>
  <si>
    <t>Coefficient for ShrinkageDeflection</t>
  </si>
  <si>
    <t>Deflection=coeff x l^2x shrinkage coeff</t>
  </si>
  <si>
    <t>pt-pc</t>
  </si>
  <si>
    <t>Values for k3</t>
  </si>
  <si>
    <t>Refer to Annexure-C</t>
  </si>
  <si>
    <t>Project:-</t>
  </si>
  <si>
    <t>Prepared By:</t>
  </si>
  <si>
    <t>Date:-</t>
  </si>
  <si>
    <t>Location:-</t>
  </si>
  <si>
    <r>
      <t xml:space="preserve">For solid slab other than flat slab, there is an increase of Tauc by </t>
    </r>
    <r>
      <rPr>
        <b/>
        <sz val="8"/>
        <rFont val="Arial"/>
        <family val="2"/>
      </rPr>
      <t>K</t>
    </r>
    <r>
      <rPr>
        <sz val="8"/>
        <rFont val="Arial"/>
        <family val="2"/>
      </rPr>
      <t xml:space="preserve"> times as per Clause 40.2.1.1 of IS 456</t>
    </r>
  </si>
  <si>
    <t xml:space="preserve">K = </t>
  </si>
  <si>
    <t>(from flexure)</t>
  </si>
  <si>
    <t>(from deflection)</t>
  </si>
  <si>
    <t>Effective depth required (d3)</t>
  </si>
  <si>
    <t>(from shear)</t>
  </si>
  <si>
    <t>Reqd. effec. Depth =</t>
  </si>
  <si>
    <t xml:space="preserve">Shear Check </t>
  </si>
  <si>
    <t>Balance section</t>
  </si>
  <si>
    <t>Reinf - short - span</t>
  </si>
  <si>
    <t>Reinf - short - support</t>
  </si>
  <si>
    <t>Reinf-long-span</t>
  </si>
  <si>
    <t>Reinf-long-support</t>
  </si>
  <si>
    <t>Defflection ratio</t>
  </si>
  <si>
    <t>Deflection value</t>
  </si>
  <si>
    <t>N</t>
  </si>
  <si>
    <r>
      <t>KN/m</t>
    </r>
    <r>
      <rPr>
        <vertAlign val="superscript"/>
        <sz val="10"/>
        <rFont val="Arial"/>
        <family val="2"/>
      </rPr>
      <t>2</t>
    </r>
  </si>
  <si>
    <r>
      <t>KN/m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/>
    </r>
  </si>
  <si>
    <t>S1 (CONCOURSE LEVEL)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</si>
</sst>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"/>
    <numFmt numFmtId="166" formatCode="0.00000"/>
    <numFmt numFmtId="167" formatCode="0.0000"/>
    <numFmt numFmtId="168" formatCode="0.000E+00"/>
    <numFmt numFmtId="169" formatCode="0E+00"/>
    <numFmt numFmtId="170" formatCode="[$-409]dd\-mmm\-yy;@"/>
  </numFmts>
  <fonts count="41">
    <font>
      <sz val="10"/>
      <name val="Arial"/>
    </font>
    <font>
      <sz val="10"/>
      <name val="Arial"/>
      <family val="2"/>
    </font>
    <font>
      <vertAlign val="superscript"/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vertAlign val="subscript"/>
      <sz val="10"/>
      <name val="Arial"/>
      <family val="2"/>
    </font>
    <font>
      <sz val="10"/>
      <color indexed="10"/>
      <name val="Arial"/>
      <family val="2"/>
    </font>
    <font>
      <b/>
      <i/>
      <sz val="10"/>
      <name val="Times New Roman"/>
      <family val="1"/>
    </font>
    <font>
      <b/>
      <sz val="10"/>
      <color indexed="12"/>
      <name val="Arial"/>
      <family val="2"/>
    </font>
    <font>
      <vertAlign val="superscript"/>
      <sz val="12"/>
      <name val="Tekton"/>
      <family val="2"/>
    </font>
    <font>
      <sz val="10"/>
      <color indexed="17"/>
      <name val="Arial"/>
      <family val="2"/>
    </font>
    <font>
      <sz val="10"/>
      <color indexed="12"/>
      <name val="Arial"/>
      <family val="2"/>
    </font>
    <font>
      <sz val="10"/>
      <name val="Symbol"/>
      <family val="1"/>
      <charset val="2"/>
    </font>
    <font>
      <sz val="10"/>
      <color indexed="57"/>
      <name val="Arial"/>
      <family val="2"/>
    </font>
    <font>
      <b/>
      <vertAlign val="superscript"/>
      <sz val="10"/>
      <name val="Arial"/>
      <family val="2"/>
    </font>
    <font>
      <b/>
      <sz val="8"/>
      <color indexed="12"/>
      <name val="Symbol"/>
      <family val="1"/>
      <charset val="2"/>
    </font>
    <font>
      <b/>
      <sz val="8"/>
      <color indexed="17"/>
      <name val="Symbol"/>
      <family val="1"/>
      <charset val="2"/>
    </font>
    <font>
      <b/>
      <vertAlign val="subscript"/>
      <sz val="8"/>
      <color indexed="17"/>
      <name val="Arial"/>
      <family val="2"/>
    </font>
    <font>
      <b/>
      <sz val="8"/>
      <color indexed="17"/>
      <name val="Arial"/>
      <family val="2"/>
    </font>
    <font>
      <b/>
      <vertAlign val="superscript"/>
      <sz val="8"/>
      <color indexed="17"/>
      <name val="Arial"/>
      <family val="2"/>
    </font>
    <font>
      <sz val="10"/>
      <color indexed="12"/>
      <name val="Arial"/>
      <family val="2"/>
    </font>
    <font>
      <sz val="10"/>
      <color indexed="17"/>
      <name val="Arial"/>
      <family val="2"/>
    </font>
    <font>
      <b/>
      <sz val="8"/>
      <name val="Symbol"/>
      <family val="1"/>
      <charset val="2"/>
    </font>
    <font>
      <b/>
      <i/>
      <sz val="10"/>
      <color indexed="10"/>
      <name val="Arial"/>
      <family val="2"/>
    </font>
    <font>
      <i/>
      <sz val="10"/>
      <name val="Arial"/>
      <family val="2"/>
    </font>
    <font>
      <b/>
      <i/>
      <sz val="12"/>
      <color indexed="10"/>
      <name val="Times New Roman"/>
      <family val="1"/>
    </font>
    <font>
      <b/>
      <vertAlign val="subscript"/>
      <sz val="10"/>
      <name val="Arial"/>
      <family val="2"/>
    </font>
    <font>
      <b/>
      <sz val="10"/>
      <color indexed="40"/>
      <name val="Arial"/>
      <family val="2"/>
    </font>
    <font>
      <b/>
      <i/>
      <sz val="10"/>
      <color indexed="46"/>
      <name val="Arial"/>
      <family val="2"/>
    </font>
    <font>
      <i/>
      <sz val="9"/>
      <color indexed="12"/>
      <name val="Arial"/>
      <family val="2"/>
    </font>
    <font>
      <b/>
      <sz val="14"/>
      <color indexed="17"/>
      <name val="Times New Roman"/>
      <family val="1"/>
    </font>
    <font>
      <b/>
      <sz val="11"/>
      <name val="Arial"/>
      <family val="2"/>
    </font>
    <font>
      <sz val="11"/>
      <color indexed="17"/>
      <name val="Times New Roman"/>
      <family val="1"/>
    </font>
    <font>
      <sz val="1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indexed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0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2" fontId="0" fillId="0" borderId="0" xfId="0" applyNumberFormat="1"/>
    <xf numFmtId="0" fontId="5" fillId="2" borderId="1" xfId="0" applyFont="1" applyFill="1" applyBorder="1" applyAlignment="1" applyProtection="1">
      <alignment horizontal="center"/>
      <protection locked="0"/>
    </xf>
    <xf numFmtId="0" fontId="0" fillId="2" borderId="1" xfId="0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0" borderId="0" xfId="0" applyProtection="1">
      <protection hidden="1"/>
    </xf>
    <xf numFmtId="0" fontId="0" fillId="0" borderId="0" xfId="0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9" xfId="0" applyBorder="1" applyProtection="1">
      <protection hidden="1"/>
    </xf>
    <xf numFmtId="0" fontId="0" fillId="0" borderId="10" xfId="0" applyBorder="1" applyProtection="1">
      <protection hidden="1"/>
    </xf>
    <xf numFmtId="0" fontId="0" fillId="0" borderId="11" xfId="0" applyBorder="1" applyAlignment="1" applyProtection="1">
      <alignment horizontal="center"/>
      <protection hidden="1"/>
    </xf>
    <xf numFmtId="1" fontId="0" fillId="0" borderId="1" xfId="0" applyNumberFormat="1" applyBorder="1" applyAlignment="1" applyProtection="1">
      <alignment horizontal="center"/>
      <protection hidden="1"/>
    </xf>
    <xf numFmtId="167" fontId="0" fillId="0" borderId="1" xfId="0" applyNumberFormat="1" applyBorder="1" applyAlignment="1" applyProtection="1">
      <alignment horizontal="center"/>
      <protection hidden="1"/>
    </xf>
    <xf numFmtId="1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3" fillId="0" borderId="0" xfId="0" applyFont="1" applyAlignment="1" applyProtection="1">
      <alignment horizontal="left"/>
      <protection hidden="1"/>
    </xf>
    <xf numFmtId="0" fontId="3" fillId="0" borderId="0" xfId="0" applyFont="1" applyAlignment="1" applyProtection="1">
      <alignment horizontal="center"/>
      <protection hidden="1"/>
    </xf>
    <xf numFmtId="2" fontId="3" fillId="0" borderId="0" xfId="0" applyNumberFormat="1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left"/>
      <protection hidden="1"/>
    </xf>
    <xf numFmtId="0" fontId="5" fillId="0" borderId="0" xfId="0" applyFont="1" applyAlignment="1" applyProtection="1">
      <alignment horizontal="left"/>
      <protection hidden="1"/>
    </xf>
    <xf numFmtId="0" fontId="5" fillId="0" borderId="0" xfId="0" applyFont="1" applyAlignment="1" applyProtection="1">
      <alignment horizontal="center"/>
      <protection hidden="1"/>
    </xf>
    <xf numFmtId="2" fontId="5" fillId="0" borderId="0" xfId="0" applyNumberFormat="1" applyFont="1" applyAlignment="1" applyProtection="1">
      <alignment horizontal="center"/>
      <protection hidden="1"/>
    </xf>
    <xf numFmtId="0" fontId="10" fillId="0" borderId="0" xfId="0" applyFont="1" applyProtection="1">
      <protection hidden="1"/>
    </xf>
    <xf numFmtId="1" fontId="5" fillId="0" borderId="0" xfId="0" applyNumberFormat="1" applyFont="1" applyAlignment="1" applyProtection="1">
      <alignment horizontal="center"/>
      <protection hidden="1"/>
    </xf>
    <xf numFmtId="0" fontId="5" fillId="0" borderId="0" xfId="0" applyFont="1" applyProtection="1">
      <protection hidden="1"/>
    </xf>
    <xf numFmtId="0" fontId="3" fillId="0" borderId="0" xfId="0" applyFont="1" applyProtection="1">
      <protection hidden="1"/>
    </xf>
    <xf numFmtId="0" fontId="4" fillId="0" borderId="0" xfId="0" applyFont="1" applyProtection="1">
      <protection hidden="1"/>
    </xf>
    <xf numFmtId="0" fontId="3" fillId="0" borderId="12" xfId="0" applyFont="1" applyBorder="1" applyAlignment="1" applyProtection="1">
      <alignment horizontal="center"/>
      <protection hidden="1"/>
    </xf>
    <xf numFmtId="0" fontId="0" fillId="0" borderId="7" xfId="0" applyBorder="1" applyProtection="1">
      <protection hidden="1"/>
    </xf>
    <xf numFmtId="167" fontId="0" fillId="0" borderId="0" xfId="0" applyNumberFormat="1" applyAlignment="1" applyProtection="1">
      <alignment horizontal="center"/>
      <protection hidden="1"/>
    </xf>
    <xf numFmtId="167" fontId="0" fillId="0" borderId="7" xfId="0" applyNumberFormat="1" applyBorder="1" applyAlignment="1" applyProtection="1">
      <alignment horizontal="center"/>
      <protection hidden="1"/>
    </xf>
    <xf numFmtId="2" fontId="0" fillId="0" borderId="13" xfId="0" applyNumberFormat="1" applyBorder="1" applyAlignment="1" applyProtection="1">
      <alignment horizontal="center"/>
      <protection hidden="1"/>
    </xf>
    <xf numFmtId="2" fontId="0" fillId="0" borderId="5" xfId="0" applyNumberFormat="1" applyBorder="1" applyAlignment="1" applyProtection="1">
      <alignment horizontal="center"/>
      <protection hidden="1"/>
    </xf>
    <xf numFmtId="1" fontId="0" fillId="0" borderId="0" xfId="0" applyNumberFormat="1" applyAlignment="1" applyProtection="1">
      <alignment horizontal="center"/>
      <protection hidden="1"/>
    </xf>
    <xf numFmtId="1" fontId="3" fillId="0" borderId="0" xfId="0" applyNumberFormat="1" applyFont="1" applyProtection="1">
      <protection hidden="1"/>
    </xf>
    <xf numFmtId="0" fontId="0" fillId="0" borderId="14" xfId="0" applyBorder="1" applyAlignment="1" applyProtection="1">
      <alignment horizontal="center" wrapText="1"/>
      <protection hidden="1"/>
    </xf>
    <xf numFmtId="0" fontId="0" fillId="0" borderId="8" xfId="0" applyBorder="1" applyAlignment="1" applyProtection="1">
      <alignment horizontal="center" wrapText="1"/>
      <protection hidden="1"/>
    </xf>
    <xf numFmtId="0" fontId="3" fillId="0" borderId="15" xfId="0" applyFont="1" applyBorder="1" applyAlignment="1" applyProtection="1">
      <alignment horizontal="center"/>
      <protection hidden="1"/>
    </xf>
    <xf numFmtId="0" fontId="3" fillId="0" borderId="16" xfId="0" applyFont="1" applyBorder="1" applyProtection="1">
      <protection hidden="1"/>
    </xf>
    <xf numFmtId="0" fontId="3" fillId="0" borderId="15" xfId="0" applyFont="1" applyBorder="1" applyProtection="1">
      <protection hidden="1"/>
    </xf>
    <xf numFmtId="0" fontId="0" fillId="0" borderId="17" xfId="0" applyBorder="1" applyProtection="1">
      <protection hidden="1"/>
    </xf>
    <xf numFmtId="0" fontId="0" fillId="0" borderId="11" xfId="0" applyBorder="1" applyProtection="1">
      <protection hidden="1"/>
    </xf>
    <xf numFmtId="0" fontId="0" fillId="0" borderId="14" xfId="0" applyBorder="1" applyProtection="1">
      <protection hidden="1"/>
    </xf>
    <xf numFmtId="0" fontId="0" fillId="0" borderId="14" xfId="0" applyBorder="1" applyAlignment="1" applyProtection="1">
      <alignment horizontal="left"/>
      <protection hidden="1"/>
    </xf>
    <xf numFmtId="164" fontId="0" fillId="0" borderId="1" xfId="0" applyNumberFormat="1" applyBorder="1" applyProtection="1">
      <protection hidden="1"/>
    </xf>
    <xf numFmtId="0" fontId="0" fillId="2" borderId="1" xfId="0" applyFill="1" applyBorder="1" applyProtection="1">
      <protection hidden="1"/>
    </xf>
    <xf numFmtId="0" fontId="3" fillId="2" borderId="1" xfId="0" applyFont="1" applyFill="1" applyBorder="1" applyProtection="1">
      <protection hidden="1"/>
    </xf>
    <xf numFmtId="1" fontId="0" fillId="0" borderId="0" xfId="0" applyNumberFormat="1"/>
    <xf numFmtId="0" fontId="0" fillId="2" borderId="1" xfId="0" applyFill="1" applyBorder="1" applyAlignment="1" applyProtection="1">
      <alignment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hidden="1"/>
    </xf>
    <xf numFmtId="11" fontId="0" fillId="0" borderId="1" xfId="0" applyNumberFormat="1" applyBorder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vertical="center" wrapText="1"/>
      <protection hidden="1"/>
    </xf>
    <xf numFmtId="0" fontId="0" fillId="0" borderId="8" xfId="0" applyBorder="1" applyProtection="1">
      <protection hidden="1"/>
    </xf>
    <xf numFmtId="1" fontId="0" fillId="0" borderId="8" xfId="0" applyNumberFormat="1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1" fontId="3" fillId="0" borderId="1" xfId="0" applyNumberFormat="1" applyFont="1" applyBorder="1" applyAlignment="1" applyProtection="1">
      <alignment horizontal="center"/>
      <protection hidden="1"/>
    </xf>
    <xf numFmtId="1" fontId="3" fillId="0" borderId="8" xfId="0" applyNumberFormat="1" applyFont="1" applyBorder="1" applyAlignment="1" applyProtection="1">
      <alignment horizontal="center"/>
      <protection hidden="1"/>
    </xf>
    <xf numFmtId="0" fontId="8" fillId="0" borderId="18" xfId="0" applyFont="1" applyBorder="1" applyAlignment="1" applyProtection="1">
      <alignment horizontal="center"/>
      <protection hidden="1"/>
    </xf>
    <xf numFmtId="0" fontId="3" fillId="0" borderId="6" xfId="0" applyFont="1" applyBorder="1" applyProtection="1">
      <protection hidden="1"/>
    </xf>
    <xf numFmtId="0" fontId="3" fillId="0" borderId="7" xfId="0" applyFont="1" applyBorder="1" applyProtection="1">
      <protection hidden="1"/>
    </xf>
    <xf numFmtId="0" fontId="0" fillId="0" borderId="19" xfId="0" applyBorder="1" applyProtection="1">
      <protection hidden="1"/>
    </xf>
    <xf numFmtId="1" fontId="0" fillId="0" borderId="1" xfId="0" applyNumberFormat="1" applyBorder="1" applyProtection="1">
      <protection hidden="1"/>
    </xf>
    <xf numFmtId="2" fontId="0" fillId="0" borderId="1" xfId="0" applyNumberFormat="1" applyBorder="1" applyProtection="1">
      <protection hidden="1"/>
    </xf>
    <xf numFmtId="2" fontId="0" fillId="0" borderId="9" xfId="0" applyNumberFormat="1" applyBorder="1" applyProtection="1">
      <protection hidden="1"/>
    </xf>
    <xf numFmtId="0" fontId="0" fillId="0" borderId="1" xfId="0" applyBorder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167" fontId="0" fillId="0" borderId="0" xfId="0" applyNumberFormat="1"/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0" fillId="0" borderId="20" xfId="0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0" fillId="0" borderId="0" xfId="0" applyAlignment="1">
      <alignment horizontal="right"/>
    </xf>
    <xf numFmtId="0" fontId="16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1" xfId="0" applyNumberFormat="1" applyBorder="1" applyAlignment="1" applyProtection="1">
      <alignment horizontal="center"/>
      <protection hidden="1"/>
    </xf>
    <xf numFmtId="0" fontId="0" fillId="0" borderId="21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0" fontId="3" fillId="0" borderId="1" xfId="0" applyFont="1" applyBorder="1" applyAlignment="1" applyProtection="1">
      <alignment horizontal="center"/>
      <protection hidden="1"/>
    </xf>
    <xf numFmtId="0" fontId="4" fillId="0" borderId="0" xfId="0" applyFont="1" applyAlignment="1">
      <alignment horizontal="center"/>
    </xf>
    <xf numFmtId="0" fontId="10" fillId="0" borderId="0" xfId="0" applyFont="1"/>
    <xf numFmtId="0" fontId="0" fillId="0" borderId="6" xfId="0" applyBorder="1" applyProtection="1">
      <protection hidden="1"/>
    </xf>
    <xf numFmtId="0" fontId="4" fillId="0" borderId="22" xfId="0" applyFont="1" applyBorder="1" applyProtection="1">
      <protection hidden="1"/>
    </xf>
    <xf numFmtId="0" fontId="0" fillId="0" borderId="23" xfId="0" applyBorder="1" applyProtection="1">
      <protection hidden="1"/>
    </xf>
    <xf numFmtId="0" fontId="0" fillId="0" borderId="21" xfId="0" applyBorder="1" applyProtection="1">
      <protection hidden="1"/>
    </xf>
    <xf numFmtId="0" fontId="5" fillId="0" borderId="0" xfId="0" applyFont="1" applyAlignment="1" applyProtection="1">
      <alignment vertical="center"/>
      <protection hidden="1"/>
    </xf>
    <xf numFmtId="0" fontId="0" fillId="0" borderId="24" xfId="0" applyBorder="1" applyProtection="1">
      <protection hidden="1"/>
    </xf>
    <xf numFmtId="0" fontId="0" fillId="0" borderId="25" xfId="0" applyBorder="1" applyProtection="1">
      <protection hidden="1"/>
    </xf>
    <xf numFmtId="0" fontId="0" fillId="0" borderId="20" xfId="0" applyBorder="1" applyProtection="1">
      <protection hidden="1"/>
    </xf>
    <xf numFmtId="0" fontId="0" fillId="0" borderId="26" xfId="0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2" fontId="3" fillId="0" borderId="27" xfId="0" applyNumberFormat="1" applyFont="1" applyBorder="1" applyAlignment="1" applyProtection="1">
      <alignment horizontal="center"/>
      <protection hidden="1"/>
    </xf>
    <xf numFmtId="0" fontId="3" fillId="0" borderId="3" xfId="0" applyFont="1" applyBorder="1" applyProtection="1">
      <protection hidden="1"/>
    </xf>
    <xf numFmtId="164" fontId="0" fillId="0" borderId="20" xfId="0" applyNumberFormat="1" applyBorder="1" applyProtection="1">
      <protection hidden="1"/>
    </xf>
    <xf numFmtId="0" fontId="3" fillId="0" borderId="4" xfId="0" applyFont="1" applyBorder="1" applyProtection="1">
      <protection hidden="1"/>
    </xf>
    <xf numFmtId="0" fontId="3" fillId="0" borderId="13" xfId="0" applyFont="1" applyBorder="1" applyProtection="1">
      <protection hidden="1"/>
    </xf>
    <xf numFmtId="2" fontId="3" fillId="0" borderId="13" xfId="0" applyNumberFormat="1" applyFont="1" applyBorder="1" applyAlignment="1" applyProtection="1">
      <alignment horizontal="center"/>
      <protection hidden="1"/>
    </xf>
    <xf numFmtId="0" fontId="3" fillId="0" borderId="5" xfId="0" applyFont="1" applyBorder="1" applyProtection="1">
      <protection hidden="1"/>
    </xf>
    <xf numFmtId="0" fontId="4" fillId="0" borderId="6" xfId="0" applyFont="1" applyBorder="1" applyProtection="1">
      <protection hidden="1"/>
    </xf>
    <xf numFmtId="0" fontId="0" fillId="0" borderId="28" xfId="0" applyBorder="1" applyProtection="1">
      <protection hidden="1"/>
    </xf>
    <xf numFmtId="0" fontId="0" fillId="0" borderId="5" xfId="0" applyBorder="1" applyProtection="1">
      <protection hidden="1"/>
    </xf>
    <xf numFmtId="0" fontId="8" fillId="0" borderId="19" xfId="0" applyFont="1" applyBorder="1" applyAlignment="1" applyProtection="1">
      <alignment horizontal="center"/>
      <protection hidden="1"/>
    </xf>
    <xf numFmtId="0" fontId="8" fillId="0" borderId="16" xfId="0" applyFont="1" applyBorder="1" applyAlignment="1" applyProtection="1">
      <alignment horizontal="center"/>
      <protection hidden="1"/>
    </xf>
    <xf numFmtId="2" fontId="0" fillId="0" borderId="8" xfId="0" applyNumberFormat="1" applyBorder="1" applyAlignment="1" applyProtection="1">
      <alignment horizontal="left"/>
      <protection hidden="1"/>
    </xf>
    <xf numFmtId="164" fontId="0" fillId="0" borderId="8" xfId="0" applyNumberFormat="1" applyBorder="1" applyAlignment="1" applyProtection="1">
      <alignment horizontal="left"/>
      <protection hidden="1"/>
    </xf>
    <xf numFmtId="0" fontId="0" fillId="0" borderId="8" xfId="0" applyBorder="1" applyAlignment="1" applyProtection="1">
      <alignment horizontal="left"/>
      <protection hidden="1"/>
    </xf>
    <xf numFmtId="0" fontId="26" fillId="0" borderId="26" xfId="0" applyFont="1" applyBorder="1" applyAlignment="1" applyProtection="1">
      <alignment horizontal="center" vertical="center" wrapText="1"/>
      <protection hidden="1"/>
    </xf>
    <xf numFmtId="0" fontId="26" fillId="0" borderId="11" xfId="0" applyFont="1" applyBorder="1" applyAlignment="1" applyProtection="1">
      <alignment horizontal="center" vertical="center" wrapText="1"/>
      <protection hidden="1"/>
    </xf>
    <xf numFmtId="2" fontId="12" fillId="0" borderId="1" xfId="0" applyNumberFormat="1" applyFont="1" applyBorder="1" applyAlignment="1" applyProtection="1">
      <alignment horizontal="center"/>
      <protection hidden="1"/>
    </xf>
    <xf numFmtId="164" fontId="8" fillId="0" borderId="1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0" xfId="0" applyFont="1" applyProtection="1">
      <protection hidden="1"/>
    </xf>
    <xf numFmtId="2" fontId="24" fillId="0" borderId="1" xfId="0" applyNumberFormat="1" applyFont="1" applyBorder="1" applyAlignment="1" applyProtection="1">
      <alignment horizontal="center"/>
      <protection hidden="1"/>
    </xf>
    <xf numFmtId="164" fontId="25" fillId="0" borderId="1" xfId="0" applyNumberFormat="1" applyFont="1" applyBorder="1" applyAlignment="1" applyProtection="1">
      <alignment horizontal="center"/>
      <protection hidden="1"/>
    </xf>
    <xf numFmtId="164" fontId="25" fillId="0" borderId="0" xfId="0" applyNumberFormat="1" applyFont="1" applyAlignment="1" applyProtection="1">
      <alignment horizontal="center"/>
      <protection hidden="1"/>
    </xf>
    <xf numFmtId="0" fontId="8" fillId="0" borderId="1" xfId="0" applyFont="1" applyBorder="1" applyAlignment="1" applyProtection="1">
      <alignment horizontal="center"/>
      <protection hidden="1"/>
    </xf>
    <xf numFmtId="164" fontId="25" fillId="0" borderId="11" xfId="0" applyNumberFormat="1" applyFont="1" applyBorder="1" applyAlignment="1" applyProtection="1">
      <alignment horizontal="center"/>
      <protection hidden="1"/>
    </xf>
    <xf numFmtId="164" fontId="25" fillId="0" borderId="9" xfId="0" applyNumberFormat="1" applyFont="1" applyBorder="1" applyAlignment="1" applyProtection="1">
      <alignment horizontal="center"/>
      <protection hidden="1"/>
    </xf>
    <xf numFmtId="0" fontId="0" fillId="0" borderId="29" xfId="0" applyBorder="1"/>
    <xf numFmtId="0" fontId="0" fillId="0" borderId="30" xfId="0" applyBorder="1"/>
    <xf numFmtId="0" fontId="3" fillId="0" borderId="31" xfId="0" applyFont="1" applyBorder="1"/>
    <xf numFmtId="0" fontId="4" fillId="0" borderId="31" xfId="0" applyFont="1" applyBorder="1"/>
    <xf numFmtId="0" fontId="0" fillId="0" borderId="13" xfId="0" applyBorder="1"/>
    <xf numFmtId="0" fontId="0" fillId="0" borderId="23" xfId="0" applyBorder="1"/>
    <xf numFmtId="0" fontId="0" fillId="0" borderId="21" xfId="0" applyBorder="1"/>
    <xf numFmtId="0" fontId="0" fillId="0" borderId="24" xfId="0" applyBorder="1"/>
    <xf numFmtId="0" fontId="0" fillId="0" borderId="20" xfId="0" applyBorder="1"/>
    <xf numFmtId="0" fontId="0" fillId="0" borderId="26" xfId="0" applyBorder="1"/>
    <xf numFmtId="0" fontId="3" fillId="0" borderId="0" xfId="0" applyFont="1"/>
    <xf numFmtId="165" fontId="0" fillId="0" borderId="0" xfId="0" applyNumberFormat="1" applyAlignment="1">
      <alignment horizontal="right"/>
    </xf>
    <xf numFmtId="165" fontId="0" fillId="0" borderId="0" xfId="0" applyNumberFormat="1"/>
    <xf numFmtId="0" fontId="3" fillId="0" borderId="2" xfId="0" applyFont="1" applyBorder="1"/>
    <xf numFmtId="0" fontId="0" fillId="0" borderId="27" xfId="0" applyBorder="1"/>
    <xf numFmtId="0" fontId="4" fillId="0" borderId="6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32" xfId="0" applyBorder="1"/>
    <xf numFmtId="0" fontId="3" fillId="0" borderId="6" xfId="0" applyFont="1" applyBorder="1"/>
    <xf numFmtId="0" fontId="5" fillId="0" borderId="0" xfId="0" applyFont="1"/>
    <xf numFmtId="0" fontId="0" fillId="0" borderId="6" xfId="0" applyBorder="1" applyAlignment="1">
      <alignment horizontal="center"/>
    </xf>
    <xf numFmtId="0" fontId="0" fillId="0" borderId="33" xfId="0" applyBorder="1"/>
    <xf numFmtId="0" fontId="0" fillId="0" borderId="6" xfId="0" applyBorder="1" applyAlignment="1">
      <alignment horizontal="left"/>
    </xf>
    <xf numFmtId="0" fontId="3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28" fillId="0" borderId="34" xfId="0" applyFont="1" applyBorder="1"/>
    <xf numFmtId="0" fontId="4" fillId="0" borderId="35" xfId="0" applyFont="1" applyBorder="1"/>
    <xf numFmtId="0" fontId="28" fillId="0" borderId="36" xfId="0" applyFont="1" applyBorder="1"/>
    <xf numFmtId="0" fontId="4" fillId="0" borderId="37" xfId="0" applyFont="1" applyBorder="1"/>
    <xf numFmtId="0" fontId="28" fillId="0" borderId="6" xfId="0" applyFont="1" applyBorder="1"/>
    <xf numFmtId="0" fontId="0" fillId="0" borderId="18" xfId="0" applyBorder="1"/>
    <xf numFmtId="0" fontId="0" fillId="0" borderId="34" xfId="0" applyBorder="1"/>
    <xf numFmtId="0" fontId="3" fillId="0" borderId="38" xfId="0" applyFont="1" applyBorder="1"/>
    <xf numFmtId="0" fontId="3" fillId="0" borderId="10" xfId="0" applyFont="1" applyBorder="1"/>
    <xf numFmtId="1" fontId="5" fillId="0" borderId="34" xfId="0" applyNumberFormat="1" applyFont="1" applyBorder="1"/>
    <xf numFmtId="0" fontId="5" fillId="0" borderId="18" xfId="0" applyFont="1" applyBorder="1"/>
    <xf numFmtId="0" fontId="3" fillId="0" borderId="39" xfId="0" applyFont="1" applyBorder="1"/>
    <xf numFmtId="169" fontId="0" fillId="0" borderId="0" xfId="0" applyNumberFormat="1"/>
    <xf numFmtId="0" fontId="3" fillId="0" borderId="34" xfId="0" applyFont="1" applyBorder="1"/>
    <xf numFmtId="0" fontId="0" fillId="0" borderId="35" xfId="0" applyBorder="1"/>
    <xf numFmtId="0" fontId="0" fillId="0" borderId="36" xfId="0" applyBorder="1"/>
    <xf numFmtId="0" fontId="3" fillId="0" borderId="36" xfId="0" applyFont="1" applyBorder="1"/>
    <xf numFmtId="2" fontId="4" fillId="0" borderId="36" xfId="0" applyNumberFormat="1" applyFont="1" applyBorder="1"/>
    <xf numFmtId="0" fontId="3" fillId="0" borderId="40" xfId="0" applyFont="1" applyBorder="1"/>
    <xf numFmtId="0" fontId="3" fillId="0" borderId="41" xfId="0" applyFont="1" applyBorder="1"/>
    <xf numFmtId="2" fontId="0" fillId="0" borderId="13" xfId="0" applyNumberFormat="1" applyBorder="1"/>
    <xf numFmtId="0" fontId="0" fillId="0" borderId="34" xfId="0" applyBorder="1" applyAlignment="1">
      <alignment horizontal="center"/>
    </xf>
    <xf numFmtId="167" fontId="3" fillId="0" borderId="20" xfId="0" applyNumberFormat="1" applyFont="1" applyBorder="1"/>
    <xf numFmtId="0" fontId="3" fillId="0" borderId="20" xfId="0" applyFont="1" applyBorder="1"/>
    <xf numFmtId="0" fontId="4" fillId="0" borderId="36" xfId="0" applyFont="1" applyBorder="1"/>
    <xf numFmtId="0" fontId="0" fillId="0" borderId="37" xfId="0" applyBorder="1"/>
    <xf numFmtId="0" fontId="4" fillId="0" borderId="6" xfId="0" applyFont="1" applyBorder="1"/>
    <xf numFmtId="0" fontId="0" fillId="0" borderId="42" xfId="0" applyBorder="1"/>
    <xf numFmtId="0" fontId="3" fillId="0" borderId="22" xfId="0" applyFont="1" applyBorder="1"/>
    <xf numFmtId="0" fontId="3" fillId="0" borderId="25" xfId="0" applyFont="1" applyBorder="1"/>
    <xf numFmtId="167" fontId="3" fillId="0" borderId="0" xfId="0" applyNumberFormat="1" applyFont="1"/>
    <xf numFmtId="0" fontId="4" fillId="0" borderId="4" xfId="0" applyFont="1" applyBorder="1"/>
    <xf numFmtId="0" fontId="3" fillId="0" borderId="3" xfId="0" applyFont="1" applyBorder="1"/>
    <xf numFmtId="0" fontId="3" fillId="0" borderId="13" xfId="0" applyFont="1" applyBorder="1"/>
    <xf numFmtId="0" fontId="3" fillId="0" borderId="5" xfId="0" applyFont="1" applyBorder="1"/>
    <xf numFmtId="164" fontId="4" fillId="0" borderId="29" xfId="0" applyNumberFormat="1" applyFont="1" applyBorder="1"/>
    <xf numFmtId="0" fontId="0" fillId="0" borderId="1" xfId="0" applyBorder="1" applyAlignment="1" applyProtection="1">
      <alignment horizontal="left"/>
      <protection hidden="1"/>
    </xf>
    <xf numFmtId="0" fontId="0" fillId="0" borderId="14" xfId="0" applyBorder="1" applyAlignment="1" applyProtection="1">
      <alignment horizontal="center"/>
      <protection hidden="1"/>
    </xf>
    <xf numFmtId="164" fontId="0" fillId="0" borderId="1" xfId="0" applyNumberFormat="1" applyBorder="1" applyAlignment="1" applyProtection="1">
      <alignment horizontal="center"/>
      <protection hidden="1"/>
    </xf>
    <xf numFmtId="0" fontId="8" fillId="0" borderId="28" xfId="0" applyFont="1" applyBorder="1" applyAlignment="1" applyProtection="1">
      <alignment horizontal="center"/>
      <protection hidden="1"/>
    </xf>
    <xf numFmtId="0" fontId="0" fillId="3" borderId="10" xfId="0" applyFill="1" applyBorder="1" applyProtection="1">
      <protection hidden="1"/>
    </xf>
    <xf numFmtId="0" fontId="0" fillId="4" borderId="1" xfId="0" applyFill="1" applyBorder="1" applyProtection="1">
      <protection hidden="1"/>
    </xf>
    <xf numFmtId="0" fontId="0" fillId="4" borderId="1" xfId="0" applyFill="1" applyBorder="1" applyAlignment="1" applyProtection="1">
      <alignment horizontal="center"/>
      <protection hidden="1"/>
    </xf>
    <xf numFmtId="2" fontId="0" fillId="0" borderId="8" xfId="0" applyNumberFormat="1" applyBorder="1" applyProtection="1"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2" fontId="3" fillId="0" borderId="7" xfId="0" applyNumberFormat="1" applyFont="1" applyBorder="1" applyProtection="1">
      <protection hidden="1"/>
    </xf>
    <xf numFmtId="1" fontId="0" fillId="0" borderId="16" xfId="0" applyNumberFormat="1" applyBorder="1" applyAlignment="1" applyProtection="1">
      <alignment horizontal="center"/>
      <protection hidden="1"/>
    </xf>
    <xf numFmtId="0" fontId="0" fillId="0" borderId="13" xfId="0" applyBorder="1" applyProtection="1">
      <protection hidden="1"/>
    </xf>
    <xf numFmtId="2" fontId="0" fillId="0" borderId="5" xfId="0" applyNumberFormat="1" applyBorder="1" applyProtection="1">
      <protection hidden="1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8" xfId="0" applyNumberFormat="1" applyBorder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0" fillId="0" borderId="18" xfId="0" applyBorder="1" applyAlignment="1" applyProtection="1">
      <alignment horizontal="left"/>
      <protection hidden="1"/>
    </xf>
    <xf numFmtId="0" fontId="0" fillId="0" borderId="15" xfId="0" applyBorder="1" applyProtection="1">
      <protection hidden="1"/>
    </xf>
    <xf numFmtId="0" fontId="0" fillId="0" borderId="16" xfId="0" applyBorder="1" applyProtection="1">
      <protection hidden="1"/>
    </xf>
    <xf numFmtId="2" fontId="0" fillId="0" borderId="45" xfId="0" applyNumberFormat="1" applyBorder="1" applyAlignment="1" applyProtection="1">
      <alignment horizontal="left"/>
      <protection hidden="1"/>
    </xf>
    <xf numFmtId="0" fontId="0" fillId="0" borderId="30" xfId="0" applyBorder="1" applyAlignment="1" applyProtection="1">
      <alignment horizontal="left"/>
      <protection hidden="1"/>
    </xf>
    <xf numFmtId="0" fontId="3" fillId="0" borderId="10" xfId="0" applyFont="1" applyBorder="1" applyAlignment="1" applyProtection="1">
      <alignment horizontal="right"/>
      <protection hidden="1"/>
    </xf>
    <xf numFmtId="0" fontId="0" fillId="0" borderId="4" xfId="0" applyBorder="1" applyProtection="1">
      <protection hidden="1"/>
    </xf>
    <xf numFmtId="0" fontId="0" fillId="0" borderId="18" xfId="0" applyBorder="1" applyProtection="1">
      <protection hidden="1"/>
    </xf>
    <xf numFmtId="0" fontId="4" fillId="0" borderId="14" xfId="0" applyFont="1" applyBorder="1" applyProtection="1">
      <protection hidden="1"/>
    </xf>
    <xf numFmtId="167" fontId="0" fillId="0" borderId="19" xfId="0" applyNumberFormat="1" applyBorder="1" applyAlignment="1" applyProtection="1">
      <alignment horizontal="center"/>
      <protection hidden="1"/>
    </xf>
    <xf numFmtId="166" fontId="4" fillId="0" borderId="29" xfId="0" applyNumberFormat="1" applyFont="1" applyBorder="1" applyAlignment="1">
      <alignment horizontal="center"/>
    </xf>
    <xf numFmtId="2" fontId="3" fillId="0" borderId="13" xfId="0" applyNumberFormat="1" applyFont="1" applyBorder="1"/>
    <xf numFmtId="0" fontId="0" fillId="0" borderId="6" xfId="0" applyBorder="1" applyAlignment="1" applyProtection="1">
      <alignment horizontal="left"/>
      <protection hidden="1"/>
    </xf>
    <xf numFmtId="2" fontId="0" fillId="0" borderId="19" xfId="0" applyNumberFormat="1" applyBorder="1" applyAlignment="1" applyProtection="1">
      <alignment horizontal="center" vertical="center" wrapText="1"/>
      <protection hidden="1"/>
    </xf>
    <xf numFmtId="0" fontId="0" fillId="0" borderId="13" xfId="0" applyBorder="1" applyAlignment="1" applyProtection="1">
      <alignment vertical="center" wrapText="1"/>
      <protection hidden="1"/>
    </xf>
    <xf numFmtId="0" fontId="0" fillId="2" borderId="46" xfId="0" applyFill="1" applyBorder="1" applyAlignment="1" applyProtection="1">
      <alignment horizontal="center"/>
      <protection locked="0" hidden="1"/>
    </xf>
    <xf numFmtId="167" fontId="0" fillId="0" borderId="8" xfId="0" applyNumberFormat="1" applyBorder="1" applyAlignment="1" applyProtection="1">
      <alignment horizontal="center"/>
      <protection hidden="1"/>
    </xf>
    <xf numFmtId="0" fontId="0" fillId="0" borderId="47" xfId="0" applyBorder="1" applyProtection="1">
      <protection hidden="1"/>
    </xf>
    <xf numFmtId="1" fontId="4" fillId="4" borderId="8" xfId="0" applyNumberFormat="1" applyFont="1" applyFill="1" applyBorder="1" applyAlignment="1" applyProtection="1">
      <alignment horizontal="center"/>
      <protection hidden="1"/>
    </xf>
    <xf numFmtId="1" fontId="0" fillId="0" borderId="1" xfId="0" applyNumberFormat="1" applyBorder="1"/>
    <xf numFmtId="0" fontId="8" fillId="0" borderId="48" xfId="0" applyFont="1" applyBorder="1" applyAlignment="1" applyProtection="1">
      <alignment horizontal="center" vertical="center"/>
      <protection hidden="1"/>
    </xf>
    <xf numFmtId="0" fontId="0" fillId="0" borderId="43" xfId="0" applyBorder="1"/>
    <xf numFmtId="0" fontId="0" fillId="0" borderId="14" xfId="0" applyBorder="1"/>
    <xf numFmtId="0" fontId="0" fillId="0" borderId="1" xfId="0" applyBorder="1" applyAlignment="1">
      <alignment horizontal="right"/>
    </xf>
    <xf numFmtId="0" fontId="0" fillId="0" borderId="15" xfId="0" applyBorder="1"/>
    <xf numFmtId="0" fontId="10" fillId="0" borderId="0" xfId="0" applyFont="1" applyAlignment="1" applyProtection="1">
      <alignment horizontal="left"/>
      <protection hidden="1"/>
    </xf>
    <xf numFmtId="0" fontId="40" fillId="0" borderId="0" xfId="0" applyFont="1" applyProtection="1">
      <protection hidden="1"/>
    </xf>
    <xf numFmtId="0" fontId="0" fillId="0" borderId="33" xfId="0" applyBorder="1" applyProtection="1">
      <protection hidden="1"/>
    </xf>
    <xf numFmtId="0" fontId="0" fillId="9" borderId="1" xfId="0" applyFill="1" applyBorder="1" applyAlignment="1" applyProtection="1">
      <alignment horizontal="center"/>
      <protection hidden="1"/>
    </xf>
    <xf numFmtId="2" fontId="3" fillId="0" borderId="1" xfId="0" applyNumberFormat="1" applyFont="1" applyBorder="1" applyAlignment="1" applyProtection="1">
      <alignment horizontal="center"/>
      <protection hidden="1"/>
    </xf>
    <xf numFmtId="0" fontId="0" fillId="9" borderId="19" xfId="0" applyFill="1" applyBorder="1" applyProtection="1">
      <protection hidden="1"/>
    </xf>
    <xf numFmtId="0" fontId="0" fillId="9" borderId="1" xfId="0" applyFill="1" applyBorder="1" applyProtection="1">
      <protection hidden="1"/>
    </xf>
    <xf numFmtId="1" fontId="0" fillId="0" borderId="8" xfId="0" applyNumberFormat="1" applyBorder="1" applyAlignment="1" applyProtection="1">
      <alignment horizontal="center" vertical="center" wrapText="1"/>
      <protection hidden="1"/>
    </xf>
    <xf numFmtId="1" fontId="0" fillId="0" borderId="16" xfId="0" applyNumberFormat="1" applyBorder="1" applyAlignment="1" applyProtection="1">
      <alignment horizontal="center" vertical="center" wrapText="1"/>
      <protection hidden="1"/>
    </xf>
    <xf numFmtId="0" fontId="32" fillId="0" borderId="35" xfId="0" applyFont="1" applyBorder="1" applyAlignment="1" applyProtection="1">
      <alignment horizontal="center"/>
      <protection hidden="1"/>
    </xf>
    <xf numFmtId="0" fontId="32" fillId="0" borderId="37" xfId="0" applyFont="1" applyBorder="1" applyAlignment="1" applyProtection="1">
      <alignment horizontal="center"/>
      <protection hidden="1"/>
    </xf>
    <xf numFmtId="0" fontId="3" fillId="0" borderId="43" xfId="0" applyFont="1" applyBorder="1" applyAlignment="1" applyProtection="1">
      <alignment horizontal="center"/>
      <protection hidden="1"/>
    </xf>
    <xf numFmtId="0" fontId="3" fillId="0" borderId="44" xfId="0" applyFont="1" applyBorder="1" applyAlignment="1" applyProtection="1">
      <alignment horizontal="center"/>
      <protection hidden="1"/>
    </xf>
    <xf numFmtId="0" fontId="3" fillId="0" borderId="46" xfId="0" applyFont="1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8" fillId="0" borderId="51" xfId="0" applyFont="1" applyBorder="1" applyAlignment="1" applyProtection="1">
      <alignment horizontal="center"/>
      <protection hidden="1"/>
    </xf>
    <xf numFmtId="0" fontId="8" fillId="0" borderId="9" xfId="0" applyFon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2" borderId="14" xfId="0" applyFill="1" applyBorder="1" applyAlignment="1" applyProtection="1">
      <alignment horizontal="left"/>
      <protection hidden="1"/>
    </xf>
    <xf numFmtId="0" fontId="0" fillId="2" borderId="1" xfId="0" applyFill="1" applyBorder="1" applyAlignment="1" applyProtection="1">
      <alignment horizontal="left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0" borderId="7" xfId="0" applyFont="1" applyBorder="1" applyAlignment="1" applyProtection="1">
      <alignment horizontal="center"/>
      <protection hidden="1"/>
    </xf>
    <xf numFmtId="0" fontId="33" fillId="0" borderId="29" xfId="0" applyFont="1" applyBorder="1" applyAlignment="1" applyProtection="1">
      <alignment horizontal="center"/>
      <protection hidden="1"/>
    </xf>
    <xf numFmtId="0" fontId="33" fillId="0" borderId="30" xfId="0" applyFont="1" applyBorder="1" applyAlignment="1" applyProtection="1">
      <alignment horizontal="center"/>
      <protection hidden="1"/>
    </xf>
    <xf numFmtId="0" fontId="8" fillId="0" borderId="21" xfId="0" applyFont="1" applyBorder="1" applyAlignment="1" applyProtection="1">
      <alignment horizontal="center"/>
      <protection hidden="1"/>
    </xf>
    <xf numFmtId="0" fontId="8" fillId="0" borderId="28" xfId="0" applyFont="1" applyBorder="1" applyAlignment="1" applyProtection="1">
      <alignment horizontal="center"/>
      <protection hidden="1"/>
    </xf>
    <xf numFmtId="0" fontId="0" fillId="0" borderId="56" xfId="0" applyBorder="1" applyAlignment="1" applyProtection="1">
      <alignment horizontal="left"/>
      <protection hidden="1"/>
    </xf>
    <xf numFmtId="0" fontId="0" fillId="0" borderId="49" xfId="0" applyBorder="1" applyAlignment="1" applyProtection="1">
      <alignment horizontal="left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 vertical="center" wrapText="1"/>
      <protection hidden="1"/>
    </xf>
    <xf numFmtId="0" fontId="0" fillId="0" borderId="15" xfId="0" applyBorder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center" vertical="center" wrapText="1"/>
      <protection hidden="1"/>
    </xf>
    <xf numFmtId="0" fontId="0" fillId="0" borderId="19" xfId="0" applyBorder="1" applyAlignment="1" applyProtection="1">
      <alignment horizontal="center" vertical="center" wrapText="1"/>
      <protection hidden="1"/>
    </xf>
    <xf numFmtId="0" fontId="0" fillId="0" borderId="18" xfId="0" applyBorder="1" applyAlignment="1" applyProtection="1">
      <alignment horizontal="left"/>
      <protection hidden="1"/>
    </xf>
    <xf numFmtId="0" fontId="5" fillId="0" borderId="18" xfId="0" applyFont="1" applyBorder="1" applyAlignment="1" applyProtection="1">
      <alignment horizontal="left" vertical="center" wrapText="1"/>
      <protection hidden="1"/>
    </xf>
    <xf numFmtId="0" fontId="5" fillId="0" borderId="1" xfId="0" applyFont="1" applyBorder="1" applyAlignment="1" applyProtection="1">
      <alignment horizontal="left" vertical="center" wrapText="1"/>
      <protection hidden="1"/>
    </xf>
    <xf numFmtId="0" fontId="5" fillId="0" borderId="49" xfId="0" applyFont="1" applyBorder="1" applyAlignment="1" applyProtection="1">
      <alignment horizontal="left" vertical="center" wrapText="1"/>
      <protection hidden="1"/>
    </xf>
    <xf numFmtId="0" fontId="5" fillId="0" borderId="19" xfId="0" applyFont="1" applyBorder="1" applyAlignment="1" applyProtection="1">
      <alignment horizontal="left" vertical="center" wrapText="1"/>
      <protection hidden="1"/>
    </xf>
    <xf numFmtId="0" fontId="0" fillId="0" borderId="19" xfId="0" applyBorder="1" applyAlignment="1" applyProtection="1">
      <alignment horizontal="center"/>
      <protection hidden="1"/>
    </xf>
    <xf numFmtId="0" fontId="8" fillId="0" borderId="28" xfId="0" applyFont="1" applyBorder="1" applyAlignment="1" applyProtection="1">
      <alignment horizontal="center" vertical="center"/>
      <protection hidden="1"/>
    </xf>
    <xf numFmtId="0" fontId="8" fillId="0" borderId="50" xfId="0" applyFont="1" applyBorder="1" applyAlignment="1" applyProtection="1">
      <alignment horizontal="center" vertical="center"/>
      <protection hidden="1"/>
    </xf>
    <xf numFmtId="0" fontId="8" fillId="0" borderId="47" xfId="0" applyFont="1" applyBorder="1" applyAlignment="1" applyProtection="1">
      <alignment horizontal="center" vertical="center"/>
      <protection hidden="1"/>
    </xf>
    <xf numFmtId="0" fontId="6" fillId="4" borderId="31" xfId="0" applyFont="1" applyFill="1" applyBorder="1" applyAlignment="1" applyProtection="1">
      <alignment horizontal="center"/>
      <protection hidden="1"/>
    </xf>
    <xf numFmtId="0" fontId="6" fillId="4" borderId="29" xfId="0" applyFont="1" applyFill="1" applyBorder="1" applyAlignment="1" applyProtection="1">
      <alignment horizontal="center"/>
      <protection hidden="1"/>
    </xf>
    <xf numFmtId="0" fontId="6" fillId="4" borderId="13" xfId="0" applyFont="1" applyFill="1" applyBorder="1" applyAlignment="1" applyProtection="1">
      <alignment horizontal="center"/>
      <protection hidden="1"/>
    </xf>
    <xf numFmtId="0" fontId="6" fillId="4" borderId="5" xfId="0" applyFont="1" applyFill="1" applyBorder="1" applyAlignment="1" applyProtection="1">
      <alignment horizontal="center"/>
      <protection hidden="1"/>
    </xf>
    <xf numFmtId="0" fontId="0" fillId="0" borderId="31" xfId="0" applyBorder="1" applyAlignment="1" applyProtection="1">
      <alignment horizontal="center"/>
      <protection hidden="1"/>
    </xf>
    <xf numFmtId="0" fontId="0" fillId="0" borderId="29" xfId="0" applyBorder="1" applyAlignment="1" applyProtection="1">
      <alignment horizontal="center"/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5" fillId="0" borderId="14" xfId="0" applyFont="1" applyBorder="1" applyAlignment="1" applyProtection="1">
      <alignment horizontal="left"/>
      <protection hidden="1"/>
    </xf>
    <xf numFmtId="0" fontId="5" fillId="0" borderId="1" xfId="0" applyFont="1" applyBorder="1" applyAlignment="1" applyProtection="1">
      <alignment horizontal="left"/>
      <protection hidden="1"/>
    </xf>
    <xf numFmtId="0" fontId="10" fillId="0" borderId="19" xfId="0" applyFont="1" applyBorder="1" applyAlignment="1" applyProtection="1">
      <alignment horizontal="center"/>
      <protection hidden="1"/>
    </xf>
    <xf numFmtId="0" fontId="10" fillId="0" borderId="16" xfId="0" applyFont="1" applyBorder="1" applyAlignment="1" applyProtection="1">
      <alignment horizontal="center"/>
      <protection hidden="1"/>
    </xf>
    <xf numFmtId="0" fontId="5" fillId="0" borderId="51" xfId="0" applyFont="1" applyBorder="1" applyAlignment="1" applyProtection="1">
      <alignment horizontal="left"/>
      <protection hidden="1"/>
    </xf>
    <xf numFmtId="0" fontId="5" fillId="0" borderId="9" xfId="0" applyFont="1" applyBorder="1" applyAlignment="1" applyProtection="1">
      <alignment horizontal="left"/>
      <protection hidden="1"/>
    </xf>
    <xf numFmtId="0" fontId="31" fillId="0" borderId="31" xfId="0" applyFont="1" applyBorder="1" applyAlignment="1" applyProtection="1">
      <alignment horizontal="center"/>
      <protection hidden="1"/>
    </xf>
    <xf numFmtId="0" fontId="31" fillId="0" borderId="29" xfId="0" applyFont="1" applyBorder="1" applyAlignment="1" applyProtection="1">
      <alignment horizontal="center"/>
      <protection hidden="1"/>
    </xf>
    <xf numFmtId="0" fontId="31" fillId="0" borderId="13" xfId="0" applyFont="1" applyBorder="1" applyAlignment="1" applyProtection="1">
      <alignment horizontal="center"/>
      <protection hidden="1"/>
    </xf>
    <xf numFmtId="0" fontId="31" fillId="0" borderId="5" xfId="0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27" xfId="0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center"/>
      <protection hidden="1"/>
    </xf>
    <xf numFmtId="0" fontId="3" fillId="0" borderId="35" xfId="0" applyFont="1" applyBorder="1" applyAlignment="1" applyProtection="1">
      <alignment horizontal="center"/>
      <protection hidden="1"/>
    </xf>
    <xf numFmtId="0" fontId="3" fillId="0" borderId="36" xfId="0" applyFont="1" applyBorder="1" applyAlignment="1" applyProtection="1">
      <alignment horizontal="center"/>
      <protection hidden="1"/>
    </xf>
    <xf numFmtId="0" fontId="3" fillId="0" borderId="52" xfId="0" applyFont="1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left"/>
      <protection hidden="1"/>
    </xf>
    <xf numFmtId="0" fontId="0" fillId="0" borderId="19" xfId="0" applyBorder="1" applyAlignment="1" applyProtection="1">
      <alignment horizontal="left"/>
      <protection hidden="1"/>
    </xf>
    <xf numFmtId="0" fontId="10" fillId="0" borderId="44" xfId="0" applyFont="1" applyBorder="1" applyAlignment="1" applyProtection="1">
      <alignment horizontal="center"/>
      <protection hidden="1"/>
    </xf>
    <xf numFmtId="0" fontId="10" fillId="0" borderId="46" xfId="0" applyFont="1" applyBorder="1" applyAlignment="1" applyProtection="1">
      <alignment horizontal="center"/>
      <protection hidden="1"/>
    </xf>
    <xf numFmtId="0" fontId="0" fillId="0" borderId="42" xfId="0" applyBorder="1" applyAlignment="1" applyProtection="1">
      <alignment horizontal="left" vertical="top"/>
      <protection hidden="1"/>
    </xf>
    <xf numFmtId="0" fontId="0" fillId="0" borderId="34" xfId="0" applyBorder="1" applyAlignment="1" applyProtection="1">
      <alignment horizontal="left" vertical="top"/>
      <protection hidden="1"/>
    </xf>
    <xf numFmtId="0" fontId="0" fillId="0" borderId="18" xfId="0" applyBorder="1" applyAlignment="1" applyProtection="1">
      <alignment horizontal="left" vertical="top"/>
      <protection hidden="1"/>
    </xf>
    <xf numFmtId="0" fontId="0" fillId="0" borderId="42" xfId="0" applyBorder="1" applyAlignment="1" applyProtection="1">
      <alignment horizontal="left"/>
      <protection hidden="1"/>
    </xf>
    <xf numFmtId="0" fontId="0" fillId="0" borderId="34" xfId="0" applyBorder="1" applyAlignment="1" applyProtection="1">
      <alignment horizontal="left"/>
      <protection hidden="1"/>
    </xf>
    <xf numFmtId="0" fontId="3" fillId="0" borderId="2" xfId="0" applyFont="1" applyBorder="1" applyAlignment="1" applyProtection="1">
      <alignment horizontal="center"/>
      <protection hidden="1"/>
    </xf>
    <xf numFmtId="0" fontId="3" fillId="0" borderId="27" xfId="0" applyFont="1" applyBorder="1" applyAlignment="1" applyProtection="1">
      <alignment horizontal="center"/>
      <protection hidden="1"/>
    </xf>
    <xf numFmtId="0" fontId="3" fillId="0" borderId="3" xfId="0" applyFont="1" applyBorder="1" applyAlignment="1" applyProtection="1">
      <alignment horizontal="center"/>
      <protection hidden="1"/>
    </xf>
    <xf numFmtId="0" fontId="0" fillId="0" borderId="43" xfId="0" applyBorder="1" applyAlignment="1" applyProtection="1">
      <alignment horizontal="left"/>
      <protection hidden="1"/>
    </xf>
    <xf numFmtId="0" fontId="0" fillId="0" borderId="44" xfId="0" applyBorder="1" applyAlignment="1" applyProtection="1">
      <alignment horizontal="left"/>
      <protection hidden="1"/>
    </xf>
    <xf numFmtId="0" fontId="3" fillId="0" borderId="56" xfId="0" applyFont="1" applyBorder="1" applyAlignment="1" applyProtection="1">
      <alignment horizontal="center"/>
      <protection hidden="1"/>
    </xf>
    <xf numFmtId="0" fontId="3" fillId="0" borderId="54" xfId="0" applyFont="1" applyBorder="1" applyAlignment="1" applyProtection="1">
      <alignment horizontal="center"/>
      <protection hidden="1"/>
    </xf>
    <xf numFmtId="0" fontId="3" fillId="0" borderId="55" xfId="0" applyFont="1" applyBorder="1" applyAlignment="1" applyProtection="1">
      <alignment horizontal="center"/>
      <protection hidden="1"/>
    </xf>
    <xf numFmtId="0" fontId="0" fillId="0" borderId="42" xfId="0" applyBorder="1" applyAlignment="1" applyProtection="1">
      <alignment horizontal="right"/>
      <protection hidden="1"/>
    </xf>
    <xf numFmtId="0" fontId="0" fillId="0" borderId="34" xfId="0" applyBorder="1" applyAlignment="1" applyProtection="1">
      <alignment horizontal="right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0" fontId="0" fillId="0" borderId="42" xfId="0" applyBorder="1" applyAlignment="1" applyProtection="1">
      <alignment horizontal="center"/>
      <protection hidden="1"/>
    </xf>
    <xf numFmtId="0" fontId="0" fillId="0" borderId="18" xfId="0" applyBorder="1" applyAlignment="1" applyProtection="1">
      <alignment horizontal="center"/>
      <protection hidden="1"/>
    </xf>
    <xf numFmtId="0" fontId="34" fillId="0" borderId="0" xfId="0" applyFont="1" applyAlignment="1">
      <alignment horizontal="left" vertical="center" wrapText="1"/>
    </xf>
    <xf numFmtId="0" fontId="35" fillId="0" borderId="44" xfId="0" applyFont="1" applyBorder="1" applyAlignment="1" applyProtection="1">
      <alignment horizontal="left"/>
      <protection locked="0"/>
    </xf>
    <xf numFmtId="0" fontId="35" fillId="0" borderId="46" xfId="0" applyFont="1" applyBorder="1" applyAlignment="1" applyProtection="1">
      <alignment horizontal="left"/>
      <protection locked="0"/>
    </xf>
    <xf numFmtId="170" fontId="0" fillId="0" borderId="1" xfId="0" applyNumberFormat="1" applyBorder="1" applyAlignment="1" applyProtection="1">
      <alignment horizontal="left"/>
      <protection hidden="1"/>
    </xf>
    <xf numFmtId="170" fontId="0" fillId="0" borderId="8" xfId="0" applyNumberFormat="1" applyBorder="1" applyAlignment="1" applyProtection="1">
      <alignment horizontal="left"/>
      <protection hidden="1"/>
    </xf>
    <xf numFmtId="0" fontId="36" fillId="0" borderId="1" xfId="0" applyFont="1" applyBorder="1" applyAlignment="1" applyProtection="1">
      <alignment horizontal="center" vertical="center" wrapText="1"/>
      <protection locked="0"/>
    </xf>
    <xf numFmtId="0" fontId="37" fillId="0" borderId="53" xfId="0" applyFont="1" applyBorder="1" applyAlignment="1" applyProtection="1">
      <alignment horizontal="left"/>
      <protection locked="0"/>
    </xf>
    <xf numFmtId="0" fontId="37" fillId="0" borderId="54" xfId="0" applyFont="1" applyBorder="1" applyAlignment="1" applyProtection="1">
      <alignment horizontal="left"/>
      <protection locked="0"/>
    </xf>
    <xf numFmtId="0" fontId="37" fillId="0" borderId="55" xfId="0" applyFont="1" applyBorder="1" applyAlignment="1" applyProtection="1">
      <alignment horizontal="left"/>
      <protection locked="0"/>
    </xf>
    <xf numFmtId="0" fontId="40" fillId="0" borderId="6" xfId="0" applyFont="1" applyBorder="1" applyAlignment="1" applyProtection="1">
      <alignment horizontal="center" vertical="center" wrapText="1"/>
      <protection hidden="1"/>
    </xf>
    <xf numFmtId="0" fontId="40" fillId="0" borderId="0" xfId="0" applyFont="1" applyAlignment="1" applyProtection="1">
      <alignment horizontal="center" vertical="center" wrapText="1"/>
      <protection hidden="1"/>
    </xf>
    <xf numFmtId="0" fontId="40" fillId="0" borderId="7" xfId="0" applyFont="1" applyBorder="1" applyAlignment="1" applyProtection="1">
      <alignment horizontal="center" vertical="center" wrapText="1"/>
      <protection hidden="1"/>
    </xf>
    <xf numFmtId="0" fontId="40" fillId="0" borderId="4" xfId="0" applyFont="1" applyBorder="1" applyAlignment="1" applyProtection="1">
      <alignment horizontal="center" vertical="center" wrapText="1"/>
      <protection hidden="1"/>
    </xf>
    <xf numFmtId="0" fontId="40" fillId="0" borderId="13" xfId="0" applyFont="1" applyBorder="1" applyAlignment="1" applyProtection="1">
      <alignment horizontal="center" vertical="center" wrapText="1"/>
      <protection hidden="1"/>
    </xf>
    <xf numFmtId="0" fontId="40" fillId="0" borderId="5" xfId="0" applyFont="1" applyBorder="1" applyAlignment="1" applyProtection="1">
      <alignment horizontal="center" vertical="center" wrapText="1"/>
      <protection hidden="1"/>
    </xf>
    <xf numFmtId="0" fontId="3" fillId="0" borderId="42" xfId="0" applyFont="1" applyBorder="1" applyAlignment="1" applyProtection="1">
      <alignment horizontal="center"/>
      <protection hidden="1"/>
    </xf>
    <xf numFmtId="0" fontId="3" fillId="0" borderId="34" xfId="0" applyFont="1" applyBorder="1" applyAlignment="1" applyProtection="1">
      <alignment horizontal="center"/>
      <protection hidden="1"/>
    </xf>
    <xf numFmtId="0" fontId="3" fillId="0" borderId="45" xfId="0" applyFont="1" applyBorder="1" applyAlignment="1" applyProtection="1">
      <alignment horizontal="center"/>
      <protection hidden="1"/>
    </xf>
    <xf numFmtId="0" fontId="0" fillId="0" borderId="36" xfId="0" applyBorder="1" applyAlignment="1" applyProtection="1">
      <alignment horizontal="center"/>
      <protection hidden="1"/>
    </xf>
    <xf numFmtId="0" fontId="0" fillId="0" borderId="52" xfId="0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 vertical="center" wrapText="1"/>
      <protection hidden="1"/>
    </xf>
    <xf numFmtId="0" fontId="8" fillId="0" borderId="34" xfId="0" applyFont="1" applyBorder="1" applyAlignment="1" applyProtection="1">
      <alignment horizontal="left" vertical="center" wrapText="1"/>
      <protection hidden="1"/>
    </xf>
    <xf numFmtId="0" fontId="8" fillId="0" borderId="45" xfId="0" applyFont="1" applyBorder="1" applyAlignment="1" applyProtection="1">
      <alignment horizontal="left" vertical="center" wrapText="1"/>
      <protection hidden="1"/>
    </xf>
    <xf numFmtId="0" fontId="10" fillId="0" borderId="1" xfId="0" applyFont="1" applyBorder="1" applyAlignment="1" applyProtection="1">
      <alignment horizontal="center"/>
      <protection hidden="1"/>
    </xf>
    <xf numFmtId="0" fontId="10" fillId="0" borderId="8" xfId="0" applyFont="1" applyBorder="1" applyAlignment="1" applyProtection="1">
      <alignment horizontal="center"/>
      <protection hidden="1"/>
    </xf>
    <xf numFmtId="0" fontId="3" fillId="4" borderId="43" xfId="0" applyFont="1" applyFill="1" applyBorder="1" applyAlignment="1" applyProtection="1">
      <alignment horizontal="center"/>
      <protection hidden="1"/>
    </xf>
    <xf numFmtId="0" fontId="3" fillId="4" borderId="44" xfId="0" applyFont="1" applyFill="1" applyBorder="1" applyAlignment="1" applyProtection="1">
      <alignment horizontal="center"/>
      <protection hidden="1"/>
    </xf>
    <xf numFmtId="0" fontId="3" fillId="4" borderId="46" xfId="0" applyFont="1" applyFill="1" applyBorder="1" applyAlignment="1" applyProtection="1">
      <alignment horizontal="center"/>
      <protection hidden="1"/>
    </xf>
    <xf numFmtId="0" fontId="0" fillId="0" borderId="0" xfId="0" applyAlignment="1">
      <alignment horizontal="center" vertical="center"/>
    </xf>
    <xf numFmtId="0" fontId="0" fillId="0" borderId="14" xfId="0" applyBorder="1" applyAlignment="1" applyProtection="1">
      <alignment horizontal="left" vertical="center"/>
      <protection hidden="1"/>
    </xf>
    <xf numFmtId="0" fontId="0" fillId="0" borderId="1" xfId="0" applyBorder="1" applyAlignment="1" applyProtection="1">
      <alignment horizontal="left" vertical="center"/>
      <protection hidden="1"/>
    </xf>
    <xf numFmtId="0" fontId="0" fillId="0" borderId="15" xfId="0" applyBorder="1" applyAlignment="1" applyProtection="1">
      <alignment horizontal="left" vertical="center"/>
      <protection hidden="1"/>
    </xf>
    <xf numFmtId="0" fontId="0" fillId="0" borderId="19" xfId="0" applyBorder="1" applyAlignment="1" applyProtection="1">
      <alignment horizontal="left" vertical="center"/>
      <protection hidden="1"/>
    </xf>
    <xf numFmtId="0" fontId="0" fillId="0" borderId="14" xfId="0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4" fillId="0" borderId="57" xfId="0" applyFont="1" applyBorder="1" applyAlignment="1" applyProtection="1">
      <alignment horizontal="center" vertical="center" textRotation="90" wrapText="1"/>
      <protection hidden="1"/>
    </xf>
    <xf numFmtId="0" fontId="4" fillId="0" borderId="50" xfId="0" applyFont="1" applyBorder="1" applyAlignment="1" applyProtection="1">
      <alignment horizontal="center" vertical="center" textRotation="90" wrapText="1"/>
      <protection hidden="1"/>
    </xf>
    <xf numFmtId="0" fontId="4" fillId="0" borderId="56" xfId="0" applyFont="1" applyBorder="1" applyAlignment="1" applyProtection="1">
      <alignment horizontal="center"/>
      <protection hidden="1"/>
    </xf>
    <xf numFmtId="0" fontId="4" fillId="0" borderId="54" xfId="0" applyFont="1" applyBorder="1" applyAlignment="1" applyProtection="1">
      <alignment horizontal="center"/>
      <protection hidden="1"/>
    </xf>
    <xf numFmtId="0" fontId="4" fillId="5" borderId="31" xfId="0" applyFont="1" applyFill="1" applyBorder="1" applyAlignment="1" applyProtection="1">
      <alignment horizontal="center"/>
      <protection hidden="1"/>
    </xf>
    <xf numFmtId="0" fontId="4" fillId="5" borderId="29" xfId="0" applyFont="1" applyFill="1" applyBorder="1" applyAlignment="1" applyProtection="1">
      <alignment horizontal="center"/>
      <protection hidden="1"/>
    </xf>
    <xf numFmtId="0" fontId="4" fillId="5" borderId="30" xfId="0" applyFont="1" applyFill="1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left"/>
      <protection hidden="1"/>
    </xf>
    <xf numFmtId="0" fontId="0" fillId="0" borderId="0" xfId="0" applyAlignment="1" applyProtection="1">
      <alignment horizontal="left"/>
      <protection hidden="1"/>
    </xf>
    <xf numFmtId="0" fontId="4" fillId="0" borderId="44" xfId="0" applyFont="1" applyBorder="1" applyAlignment="1" applyProtection="1">
      <alignment horizontal="center"/>
      <protection hidden="1"/>
    </xf>
    <xf numFmtId="0" fontId="4" fillId="0" borderId="15" xfId="0" applyFont="1" applyBorder="1" applyAlignment="1" applyProtection="1">
      <alignment horizontal="center"/>
      <protection hidden="1"/>
    </xf>
    <xf numFmtId="0" fontId="4" fillId="0" borderId="19" xfId="0" applyFont="1" applyBorder="1" applyAlignment="1" applyProtection="1">
      <alignment horizontal="center"/>
      <protection hidden="1"/>
    </xf>
    <xf numFmtId="0" fontId="4" fillId="0" borderId="14" xfId="0" applyFont="1" applyBorder="1" applyAlignment="1" applyProtection="1">
      <alignment horizontal="center"/>
      <protection hidden="1"/>
    </xf>
    <xf numFmtId="0" fontId="0" fillId="4" borderId="43" xfId="0" applyFill="1" applyBorder="1" applyAlignment="1" applyProtection="1">
      <alignment horizontal="center"/>
      <protection hidden="1"/>
    </xf>
    <xf numFmtId="0" fontId="0" fillId="4" borderId="44" xfId="0" applyFill="1" applyBorder="1" applyAlignment="1" applyProtection="1">
      <alignment horizontal="center"/>
      <protection hidden="1"/>
    </xf>
    <xf numFmtId="0" fontId="0" fillId="4" borderId="46" xfId="0" applyFill="1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 vertical="center" wrapText="1"/>
      <protection hidden="1"/>
    </xf>
    <xf numFmtId="0" fontId="0" fillId="0" borderId="23" xfId="0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4" fillId="2" borderId="1" xfId="0" applyFont="1" applyFill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27" fillId="0" borderId="4" xfId="0" applyFont="1" applyBorder="1" applyAlignment="1" applyProtection="1">
      <alignment horizontal="center"/>
      <protection hidden="1"/>
    </xf>
    <xf numFmtId="0" fontId="27" fillId="0" borderId="13" xfId="0" applyFont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/>
      <protection hidden="1"/>
    </xf>
    <xf numFmtId="2" fontId="0" fillId="0" borderId="1" xfId="0" applyNumberFormat="1" applyBorder="1" applyAlignment="1" applyProtection="1">
      <alignment horizontal="center"/>
      <protection hidden="1"/>
    </xf>
    <xf numFmtId="0" fontId="38" fillId="0" borderId="1" xfId="0" applyFont="1" applyBorder="1" applyAlignment="1" applyProtection="1">
      <alignment horizontal="center" vertical="top" wrapText="1"/>
      <protection hidden="1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 applyProtection="1">
      <alignment horizontal="left"/>
      <protection hidden="1"/>
    </xf>
    <xf numFmtId="0" fontId="3" fillId="0" borderId="27" xfId="0" applyFont="1" applyBorder="1" applyAlignment="1" applyProtection="1">
      <alignment horizontal="left"/>
      <protection hidden="1"/>
    </xf>
    <xf numFmtId="0" fontId="11" fillId="2" borderId="31" xfId="0" applyFont="1" applyFill="1" applyBorder="1" applyAlignment="1" applyProtection="1">
      <alignment horizontal="center"/>
      <protection hidden="1"/>
    </xf>
    <xf numFmtId="0" fontId="11" fillId="2" borderId="29" xfId="0" applyFont="1" applyFill="1" applyBorder="1" applyAlignment="1" applyProtection="1">
      <alignment horizontal="center"/>
      <protection hidden="1"/>
    </xf>
    <xf numFmtId="0" fontId="11" fillId="2" borderId="30" xfId="0" applyFont="1" applyFill="1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left"/>
      <protection hidden="1"/>
    </xf>
    <xf numFmtId="0" fontId="0" fillId="0" borderId="11" xfId="0" applyBorder="1" applyAlignment="1" applyProtection="1">
      <alignment horizontal="left"/>
      <protection hidden="1"/>
    </xf>
    <xf numFmtId="0" fontId="0" fillId="0" borderId="58" xfId="0" applyBorder="1" applyAlignment="1" applyProtection="1">
      <alignment horizontal="center" vertical="center"/>
      <protection hidden="1"/>
    </xf>
    <xf numFmtId="0" fontId="0" fillId="0" borderId="23" xfId="0" applyBorder="1" applyAlignment="1" applyProtection="1">
      <alignment horizontal="center" vertical="center"/>
      <protection hidden="1"/>
    </xf>
    <xf numFmtId="0" fontId="0" fillId="0" borderId="21" xfId="0" applyBorder="1" applyAlignment="1" applyProtection="1">
      <alignment horizontal="center" vertical="center"/>
      <protection hidden="1"/>
    </xf>
    <xf numFmtId="0" fontId="0" fillId="0" borderId="38" xfId="0" applyBorder="1" applyAlignment="1" applyProtection="1">
      <alignment horizontal="center" vertical="center"/>
      <protection hidden="1"/>
    </xf>
    <xf numFmtId="0" fontId="0" fillId="0" borderId="20" xfId="0" applyBorder="1" applyAlignment="1" applyProtection="1">
      <alignment horizontal="center" vertical="center"/>
      <protection hidden="1"/>
    </xf>
    <xf numFmtId="0" fontId="0" fillId="0" borderId="26" xfId="0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0" xfId="0" applyBorder="1" applyAlignment="1" applyProtection="1">
      <alignment horizontal="left"/>
      <protection hidden="1"/>
    </xf>
    <xf numFmtId="0" fontId="0" fillId="0" borderId="39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24" xfId="0" applyBorder="1" applyAlignment="1" applyProtection="1">
      <alignment horizontal="center" vertical="center"/>
      <protection hidden="1"/>
    </xf>
    <xf numFmtId="0" fontId="0" fillId="0" borderId="59" xfId="0" applyBorder="1" applyAlignment="1" applyProtection="1">
      <alignment horizontal="center" vertical="center"/>
      <protection hidden="1"/>
    </xf>
    <xf numFmtId="0" fontId="3" fillId="0" borderId="10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11" fillId="2" borderId="31" xfId="0" applyFont="1" applyFill="1" applyBorder="1" applyAlignment="1">
      <alignment horizontal="center"/>
    </xf>
    <xf numFmtId="0" fontId="11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1" fontId="0" fillId="0" borderId="20" xfId="0" applyNumberFormat="1" applyBorder="1" applyAlignment="1">
      <alignment horizontal="right"/>
    </xf>
    <xf numFmtId="0" fontId="0" fillId="0" borderId="20" xfId="0" applyBorder="1" applyAlignment="1">
      <alignment horizontal="center"/>
    </xf>
    <xf numFmtId="0" fontId="0" fillId="0" borderId="26" xfId="0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6" xfId="0" applyFont="1" applyBorder="1" applyAlignment="1">
      <alignment horizontal="left"/>
    </xf>
    <xf numFmtId="0" fontId="0" fillId="0" borderId="0" xfId="0" applyAlignment="1">
      <alignment horizontal="left"/>
    </xf>
    <xf numFmtId="168" fontId="0" fillId="0" borderId="0" xfId="0" applyNumberFormat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3" xfId="0" applyBorder="1" applyAlignment="1">
      <alignment horizontal="left"/>
    </xf>
    <xf numFmtId="0" fontId="0" fillId="0" borderId="54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18" xfId="0" applyBorder="1" applyAlignment="1">
      <alignment horizontal="left"/>
    </xf>
    <xf numFmtId="0" fontId="29" fillId="0" borderId="2" xfId="0" applyFont="1" applyBorder="1" applyAlignment="1">
      <alignment horizontal="center" vertical="center" wrapText="1"/>
    </xf>
    <xf numFmtId="0" fontId="29" fillId="0" borderId="27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/>
    </xf>
    <xf numFmtId="0" fontId="3" fillId="0" borderId="34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6" borderId="2" xfId="0" applyFont="1" applyFill="1" applyBorder="1" applyAlignment="1" applyProtection="1">
      <alignment horizontal="center"/>
      <protection hidden="1"/>
    </xf>
    <xf numFmtId="0" fontId="3" fillId="6" borderId="27" xfId="0" applyFont="1" applyFill="1" applyBorder="1" applyAlignment="1" applyProtection="1">
      <alignment horizontal="center"/>
      <protection hidden="1"/>
    </xf>
    <xf numFmtId="0" fontId="3" fillId="6" borderId="3" xfId="0" applyFont="1" applyFill="1" applyBorder="1" applyAlignment="1" applyProtection="1">
      <alignment horizontal="center"/>
      <protection hidden="1"/>
    </xf>
    <xf numFmtId="164" fontId="0" fillId="0" borderId="1" xfId="0" applyNumberFormat="1" applyBorder="1" applyAlignment="1" applyProtection="1">
      <alignment horizontal="center"/>
      <protection hidden="1"/>
    </xf>
    <xf numFmtId="164" fontId="0" fillId="0" borderId="8" xfId="0" applyNumberFormat="1" applyBorder="1" applyAlignment="1" applyProtection="1">
      <alignment horizontal="center"/>
      <protection hidden="1"/>
    </xf>
    <xf numFmtId="0" fontId="0" fillId="0" borderId="6" xfId="0" applyBorder="1" applyAlignment="1" applyProtection="1">
      <alignment horizontal="right"/>
      <protection hidden="1"/>
    </xf>
    <xf numFmtId="0" fontId="0" fillId="0" borderId="0" xfId="0" applyAlignment="1" applyProtection="1">
      <alignment horizontal="right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27" xfId="0" applyBorder="1" applyAlignment="1" applyProtection="1">
      <alignment horizontal="center"/>
      <protection hidden="1"/>
    </xf>
    <xf numFmtId="0" fontId="0" fillId="0" borderId="60" xfId="0" applyBorder="1" applyAlignment="1" applyProtection="1">
      <alignment horizontal="center"/>
      <protection hidden="1"/>
    </xf>
    <xf numFmtId="0" fontId="0" fillId="0" borderId="25" xfId="0" applyBorder="1" applyAlignment="1" applyProtection="1">
      <alignment horizontal="center"/>
      <protection hidden="1"/>
    </xf>
    <xf numFmtId="0" fontId="0" fillId="0" borderId="26" xfId="0" applyBorder="1" applyAlignment="1" applyProtection="1">
      <alignment horizontal="center"/>
      <protection hidden="1"/>
    </xf>
    <xf numFmtId="1" fontId="0" fillId="0" borderId="1" xfId="0" applyNumberFormat="1" applyBorder="1" applyAlignment="1" applyProtection="1">
      <alignment horizontal="center"/>
      <protection hidden="1"/>
    </xf>
    <xf numFmtId="1" fontId="0" fillId="0" borderId="8" xfId="0" applyNumberFormat="1" applyBorder="1" applyAlignment="1" applyProtection="1">
      <alignment horizontal="center"/>
      <protection hidden="1"/>
    </xf>
    <xf numFmtId="0" fontId="4" fillId="0" borderId="46" xfId="0" applyFont="1" applyBorder="1" applyAlignment="1" applyProtection="1">
      <alignment horizontal="center"/>
      <protection hidden="1"/>
    </xf>
    <xf numFmtId="2" fontId="0" fillId="0" borderId="19" xfId="0" applyNumberFormat="1" applyBorder="1" applyAlignment="1" applyProtection="1">
      <alignment horizontal="center"/>
      <protection hidden="1"/>
    </xf>
    <xf numFmtId="2" fontId="0" fillId="0" borderId="16" xfId="0" applyNumberFormat="1" applyBorder="1" applyAlignment="1" applyProtection="1">
      <alignment horizontal="center"/>
      <protection hidden="1"/>
    </xf>
    <xf numFmtId="167" fontId="0" fillId="0" borderId="1" xfId="0" applyNumberFormat="1" applyBorder="1" applyAlignment="1" applyProtection="1">
      <alignment horizontal="center"/>
      <protection hidden="1"/>
    </xf>
    <xf numFmtId="167" fontId="0" fillId="0" borderId="8" xfId="0" applyNumberFormat="1" applyBorder="1" applyAlignment="1" applyProtection="1">
      <alignment horizontal="center"/>
      <protection hidden="1"/>
    </xf>
    <xf numFmtId="2" fontId="0" fillId="0" borderId="8" xfId="0" applyNumberForma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left"/>
      <protection hidden="1"/>
    </xf>
    <xf numFmtId="0" fontId="3" fillId="2" borderId="31" xfId="0" applyFont="1" applyFill="1" applyBorder="1" applyAlignment="1" applyProtection="1">
      <alignment horizontal="center"/>
      <protection hidden="1"/>
    </xf>
    <xf numFmtId="0" fontId="3" fillId="2" borderId="29" xfId="0" applyFont="1" applyFill="1" applyBorder="1" applyAlignment="1" applyProtection="1">
      <alignment horizontal="center"/>
      <protection hidden="1"/>
    </xf>
    <xf numFmtId="0" fontId="3" fillId="2" borderId="30" xfId="0" applyFont="1" applyFill="1" applyBorder="1" applyAlignment="1" applyProtection="1">
      <alignment horizontal="center"/>
      <protection hidden="1"/>
    </xf>
    <xf numFmtId="0" fontId="5" fillId="0" borderId="0" xfId="0" applyFont="1" applyAlignment="1" applyProtection="1">
      <alignment horizontal="left"/>
      <protection hidden="1"/>
    </xf>
    <xf numFmtId="0" fontId="0" fillId="0" borderId="4" xfId="0" applyBorder="1" applyAlignment="1" applyProtection="1">
      <alignment horizontal="right"/>
      <protection hidden="1"/>
    </xf>
    <xf numFmtId="0" fontId="0" fillId="0" borderId="13" xfId="0" applyBorder="1" applyAlignment="1" applyProtection="1">
      <alignment horizontal="right"/>
      <protection hidden="1"/>
    </xf>
    <xf numFmtId="0" fontId="0" fillId="0" borderId="24" xfId="0" applyBorder="1" applyAlignment="1" applyProtection="1">
      <alignment horizontal="left"/>
      <protection hidden="1"/>
    </xf>
    <xf numFmtId="0" fontId="0" fillId="4" borderId="8" xfId="0" applyFill="1" applyBorder="1" applyAlignment="1" applyProtection="1">
      <alignment horizontal="center" vertical="center"/>
      <protection hidden="1"/>
    </xf>
    <xf numFmtId="0" fontId="0" fillId="4" borderId="1" xfId="0" applyFill="1" applyBorder="1" applyAlignment="1" applyProtection="1">
      <alignment horizontal="center" vertical="center"/>
      <protection hidden="1"/>
    </xf>
    <xf numFmtId="0" fontId="0" fillId="3" borderId="10" xfId="0" applyFill="1" applyBorder="1" applyAlignment="1" applyProtection="1">
      <alignment horizontal="center" vertical="center"/>
      <protection hidden="1"/>
    </xf>
    <xf numFmtId="164" fontId="0" fillId="0" borderId="9" xfId="0" applyNumberFormat="1" applyBorder="1" applyAlignment="1" applyProtection="1">
      <alignment horizontal="center" vertical="center"/>
      <protection hidden="1"/>
    </xf>
    <xf numFmtId="164" fontId="0" fillId="0" borderId="11" xfId="0" applyNumberFormat="1" applyBorder="1" applyAlignment="1" applyProtection="1">
      <alignment horizontal="center" vertical="center"/>
      <protection hidden="1"/>
    </xf>
    <xf numFmtId="164" fontId="0" fillId="0" borderId="59" xfId="0" applyNumberFormat="1" applyBorder="1" applyAlignment="1" applyProtection="1">
      <alignment horizontal="center" vertical="center"/>
      <protection hidden="1"/>
    </xf>
    <xf numFmtId="0" fontId="0" fillId="3" borderId="8" xfId="0" applyFill="1" applyBorder="1" applyAlignment="1" applyProtection="1">
      <alignment horizontal="center" vertical="center"/>
      <protection hidden="1"/>
    </xf>
    <xf numFmtId="0" fontId="0" fillId="0" borderId="19" xfId="0" applyBorder="1" applyAlignment="1" applyProtection="1">
      <alignment horizontal="center" vertical="center"/>
      <protection hidden="1"/>
    </xf>
    <xf numFmtId="0" fontId="0" fillId="0" borderId="61" xfId="0" applyBorder="1" applyAlignment="1" applyProtection="1">
      <alignment horizontal="center"/>
      <protection hidden="1"/>
    </xf>
    <xf numFmtId="0" fontId="0" fillId="3" borderId="53" xfId="0" applyFill="1" applyBorder="1" applyAlignment="1" applyProtection="1">
      <alignment horizontal="center" vertical="center"/>
      <protection hidden="1"/>
    </xf>
    <xf numFmtId="164" fontId="0" fillId="0" borderId="62" xfId="0" applyNumberFormat="1" applyBorder="1" applyAlignment="1" applyProtection="1">
      <alignment horizontal="center" vertical="center"/>
      <protection hidden="1"/>
    </xf>
    <xf numFmtId="0" fontId="0" fillId="3" borderId="16" xfId="0" applyFill="1" applyBorder="1" applyAlignment="1" applyProtection="1">
      <alignment horizontal="center" vertical="center"/>
      <protection hidden="1"/>
    </xf>
    <xf numFmtId="0" fontId="3" fillId="7" borderId="31" xfId="0" applyFont="1" applyFill="1" applyBorder="1" applyAlignment="1" applyProtection="1">
      <alignment horizontal="center"/>
      <protection hidden="1"/>
    </xf>
    <xf numFmtId="0" fontId="0" fillId="7" borderId="29" xfId="0" applyFill="1" applyBorder="1" applyAlignment="1" applyProtection="1">
      <alignment horizontal="center"/>
      <protection hidden="1"/>
    </xf>
    <xf numFmtId="0" fontId="0" fillId="7" borderId="30" xfId="0" applyFill="1" applyBorder="1" applyAlignment="1" applyProtection="1">
      <alignment horizontal="center"/>
      <protection hidden="1"/>
    </xf>
    <xf numFmtId="0" fontId="0" fillId="0" borderId="43" xfId="0" applyBorder="1" applyAlignment="1" applyProtection="1">
      <alignment horizontal="center"/>
      <protection hidden="1"/>
    </xf>
    <xf numFmtId="0" fontId="0" fillId="0" borderId="46" xfId="0" applyBorder="1" applyAlignment="1" applyProtection="1">
      <alignment horizontal="center"/>
      <protection hidden="1"/>
    </xf>
    <xf numFmtId="0" fontId="3" fillId="0" borderId="10" xfId="0" applyFont="1" applyBorder="1" applyAlignment="1" applyProtection="1">
      <alignment horizontal="center"/>
      <protection hidden="1"/>
    </xf>
    <xf numFmtId="0" fontId="0" fillId="0" borderId="58" xfId="0" applyBorder="1" applyAlignment="1" applyProtection="1">
      <alignment horizontal="center"/>
      <protection hidden="1"/>
    </xf>
    <xf numFmtId="0" fontId="0" fillId="0" borderId="38" xfId="0" applyBorder="1" applyAlignment="1" applyProtection="1">
      <alignment horizontal="center"/>
      <protection hidden="1"/>
    </xf>
    <xf numFmtId="0" fontId="3" fillId="8" borderId="31" xfId="0" applyFont="1" applyFill="1" applyBorder="1" applyAlignment="1" applyProtection="1">
      <alignment horizontal="center"/>
      <protection hidden="1"/>
    </xf>
    <xf numFmtId="0" fontId="3" fillId="8" borderId="29" xfId="0" applyFont="1" applyFill="1" applyBorder="1" applyAlignment="1" applyProtection="1">
      <alignment horizontal="center"/>
      <protection hidden="1"/>
    </xf>
    <xf numFmtId="0" fontId="0" fillId="0" borderId="39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20" fillId="0" borderId="29" xfId="0" applyFont="1" applyBorder="1" applyAlignment="1" applyProtection="1">
      <alignment horizontal="center" vertical="center" wrapText="1"/>
      <protection hidden="1"/>
    </xf>
    <xf numFmtId="0" fontId="20" fillId="0" borderId="30" xfId="0" applyFont="1" applyBorder="1" applyAlignment="1" applyProtection="1">
      <alignment horizontal="center" vertical="center" wrapText="1"/>
      <protection hidden="1"/>
    </xf>
    <xf numFmtId="0" fontId="19" fillId="0" borderId="1" xfId="0" applyFont="1" applyBorder="1" applyAlignment="1" applyProtection="1">
      <alignment horizontal="center" vertical="center" wrapText="1"/>
      <protection hidden="1"/>
    </xf>
    <xf numFmtId="0" fontId="3" fillId="0" borderId="31" xfId="0" applyFont="1" applyBorder="1" applyAlignment="1" applyProtection="1">
      <alignment horizontal="center"/>
      <protection hidden="1"/>
    </xf>
    <xf numFmtId="0" fontId="3" fillId="0" borderId="29" xfId="0" applyFont="1" applyBorder="1" applyAlignment="1" applyProtection="1">
      <alignment horizontal="center"/>
      <protection hidden="1"/>
    </xf>
    <xf numFmtId="0" fontId="3" fillId="0" borderId="30" xfId="0" applyFont="1" applyBorder="1" applyAlignment="1" applyProtection="1">
      <alignment horizontal="center"/>
      <protection hidden="1"/>
    </xf>
    <xf numFmtId="0" fontId="0" fillId="0" borderId="37" xfId="0" applyBorder="1" applyAlignment="1" applyProtection="1">
      <alignment horizontal="center"/>
      <protection hidden="1"/>
    </xf>
  </cellXfs>
  <cellStyles count="1">
    <cellStyle name="Normal" xfId="0" builtinId="0"/>
  </cellStyles>
  <dxfs count="2">
    <dxf>
      <font>
        <condense val="0"/>
        <extend val="0"/>
        <color indexed="10"/>
      </font>
    </dxf>
    <dxf>
      <font>
        <condense val="0"/>
        <extend val="0"/>
        <color indexed="2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usernames" Target="revisions/userNam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8</xdr:row>
      <xdr:rowOff>38100</xdr:rowOff>
    </xdr:from>
    <xdr:to>
      <xdr:col>8</xdr:col>
      <xdr:colOff>581025</xdr:colOff>
      <xdr:row>10</xdr:row>
      <xdr:rowOff>142875</xdr:rowOff>
    </xdr:to>
    <xdr:sp macro="" textlink="">
      <xdr:nvSpPr>
        <xdr:cNvPr id="6535" name="Rectangle 3">
          <a:extLst>
            <a:ext uri="{FF2B5EF4-FFF2-40B4-BE49-F238E27FC236}">
              <a16:creationId xmlns:a16="http://schemas.microsoft.com/office/drawing/2014/main" id="{00000000-0008-0000-0000-000087190000}"/>
            </a:ext>
          </a:extLst>
        </xdr:cNvPr>
        <xdr:cNvSpPr>
          <a:spLocks noChangeArrowheads="1"/>
        </xdr:cNvSpPr>
      </xdr:nvSpPr>
      <xdr:spPr bwMode="auto">
        <a:xfrm>
          <a:off x="4686300" y="1581150"/>
          <a:ext cx="1352550" cy="428625"/>
        </a:xfrm>
        <a:prstGeom prst="rect">
          <a:avLst/>
        </a:prstGeom>
        <a:solidFill>
          <a:srgbClr val="969696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38100</xdr:colOff>
      <xdr:row>7</xdr:row>
      <xdr:rowOff>85725</xdr:rowOff>
    </xdr:from>
    <xdr:to>
      <xdr:col>8</xdr:col>
      <xdr:colOff>571500</xdr:colOff>
      <xdr:row>7</xdr:row>
      <xdr:rowOff>85725</xdr:rowOff>
    </xdr:to>
    <xdr:sp macro="" textlink="">
      <xdr:nvSpPr>
        <xdr:cNvPr id="6536" name="Line 4">
          <a:extLst>
            <a:ext uri="{FF2B5EF4-FFF2-40B4-BE49-F238E27FC236}">
              <a16:creationId xmlns:a16="http://schemas.microsoft.com/office/drawing/2014/main" id="{00000000-0008-0000-0000-000088190000}"/>
            </a:ext>
          </a:extLst>
        </xdr:cNvPr>
        <xdr:cNvSpPr>
          <a:spLocks noChangeShapeType="1"/>
        </xdr:cNvSpPr>
      </xdr:nvSpPr>
      <xdr:spPr bwMode="auto">
        <a:xfrm>
          <a:off x="4705350" y="1466850"/>
          <a:ext cx="13335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oval" w="med" len="med"/>
          <a:tailEnd type="oval" w="med" len="med"/>
        </a:ln>
      </xdr:spPr>
    </xdr:sp>
    <xdr:clientData/>
  </xdr:twoCellAnchor>
  <xdr:twoCellAnchor>
    <xdr:from>
      <xdr:col>9</xdr:col>
      <xdr:colOff>57150</xdr:colOff>
      <xdr:row>8</xdr:row>
      <xdr:rowOff>57150</xdr:rowOff>
    </xdr:from>
    <xdr:to>
      <xdr:col>9</xdr:col>
      <xdr:colOff>57150</xdr:colOff>
      <xdr:row>10</xdr:row>
      <xdr:rowOff>133350</xdr:rowOff>
    </xdr:to>
    <xdr:sp macro="" textlink="">
      <xdr:nvSpPr>
        <xdr:cNvPr id="6537" name="Line 5">
          <a:extLst>
            <a:ext uri="{FF2B5EF4-FFF2-40B4-BE49-F238E27FC236}">
              <a16:creationId xmlns:a16="http://schemas.microsoft.com/office/drawing/2014/main" id="{00000000-0008-0000-0000-000089190000}"/>
            </a:ext>
          </a:extLst>
        </xdr:cNvPr>
        <xdr:cNvSpPr>
          <a:spLocks noChangeShapeType="1"/>
        </xdr:cNvSpPr>
      </xdr:nvSpPr>
      <xdr:spPr bwMode="auto">
        <a:xfrm>
          <a:off x="6096000" y="1600200"/>
          <a:ext cx="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 type="oval" w="med" len="med"/>
          <a:tailEnd type="oval" w="med" len="med"/>
        </a:ln>
      </xdr:spPr>
    </xdr:sp>
    <xdr:clientData/>
  </xdr:twoCellAnchor>
  <xdr:oneCellAnchor>
    <xdr:from>
      <xdr:col>7</xdr:col>
      <xdr:colOff>142875</xdr:colOff>
      <xdr:row>6</xdr:row>
      <xdr:rowOff>76200</xdr:rowOff>
    </xdr:from>
    <xdr:ext cx="152400" cy="180975"/>
    <xdr:sp macro="" textlink="">
      <xdr:nvSpPr>
        <xdr:cNvPr id="1030" name="Text Box 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 txBox="1">
          <a:spLocks noChangeArrowheads="1"/>
        </xdr:cNvSpPr>
      </xdr:nvSpPr>
      <xdr:spPr bwMode="auto">
        <a:xfrm>
          <a:off x="4781550" y="1276350"/>
          <a:ext cx="209550" cy="200025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Ly</a:t>
          </a:r>
          <a:endParaRPr lang="en-US"/>
        </a:p>
      </xdr:txBody>
    </xdr:sp>
    <xdr:clientData/>
  </xdr:oneCellAnchor>
  <xdr:twoCellAnchor editAs="oneCell">
    <xdr:from>
      <xdr:col>6</xdr:col>
      <xdr:colOff>47625</xdr:colOff>
      <xdr:row>9</xdr:row>
      <xdr:rowOff>9525</xdr:rowOff>
    </xdr:from>
    <xdr:to>
      <xdr:col>7</xdr:col>
      <xdr:colOff>133350</xdr:colOff>
      <xdr:row>10</xdr:row>
      <xdr:rowOff>57150</xdr:rowOff>
    </xdr:to>
    <xdr:sp macro="" textlink="">
      <xdr:nvSpPr>
        <xdr:cNvPr id="1031" name="Text Box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 txBox="1">
          <a:spLocks noChangeArrowheads="1"/>
        </xdr:cNvSpPr>
      </xdr:nvSpPr>
      <xdr:spPr bwMode="auto">
        <a:xfrm>
          <a:off x="4076700" y="1714500"/>
          <a:ext cx="695325" cy="20955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Left edge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Left Edge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/>
        </a:p>
      </xdr:txBody>
    </xdr:sp>
    <xdr:clientData/>
  </xdr:twoCellAnchor>
  <xdr:oneCellAnchor>
    <xdr:from>
      <xdr:col>9</xdr:col>
      <xdr:colOff>219075</xdr:colOff>
      <xdr:row>9</xdr:row>
      <xdr:rowOff>142875</xdr:rowOff>
    </xdr:from>
    <xdr:ext cx="609600" cy="180975"/>
    <xdr:sp macro="" textlink="">
      <xdr:nvSpPr>
        <xdr:cNvPr id="1032" name="Text Box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 txBox="1">
          <a:spLocks noChangeArrowheads="1"/>
        </xdr:cNvSpPr>
      </xdr:nvSpPr>
      <xdr:spPr bwMode="auto">
        <a:xfrm>
          <a:off x="6229350" y="1847850"/>
          <a:ext cx="666750" cy="200025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Right edge</a:t>
          </a:r>
          <a:endParaRPr lang="en-US"/>
        </a:p>
      </xdr:txBody>
    </xdr:sp>
    <xdr:clientData/>
  </xdr:oneCellAnchor>
  <xdr:oneCellAnchor>
    <xdr:from>
      <xdr:col>7</xdr:col>
      <xdr:colOff>266700</xdr:colOff>
      <xdr:row>10</xdr:row>
      <xdr:rowOff>123825</xdr:rowOff>
    </xdr:from>
    <xdr:ext cx="647700" cy="342900"/>
    <xdr:sp macro="" textlink="">
      <xdr:nvSpPr>
        <xdr:cNvPr id="1033" name="Text Box 9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 txBox="1">
          <a:spLocks noChangeArrowheads="1"/>
        </xdr:cNvSpPr>
      </xdr:nvSpPr>
      <xdr:spPr bwMode="auto">
        <a:xfrm>
          <a:off x="4905375" y="1990725"/>
          <a:ext cx="704850" cy="36195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Lower edge</a:t>
          </a:r>
        </a:p>
        <a:p>
          <a:pPr algn="l" rtl="0">
            <a:defRPr sz="1000"/>
          </a:pPr>
          <a:endParaRPr lang="en-US"/>
        </a:p>
      </xdr:txBody>
    </xdr:sp>
    <xdr:clientData/>
  </xdr:oneCellAnchor>
  <xdr:twoCellAnchor editAs="oneCell">
    <xdr:from>
      <xdr:col>7</xdr:col>
      <xdr:colOff>495300</xdr:colOff>
      <xdr:row>6</xdr:row>
      <xdr:rowOff>57150</xdr:rowOff>
    </xdr:from>
    <xdr:to>
      <xdr:col>9</xdr:col>
      <xdr:colOff>114300</xdr:colOff>
      <xdr:row>7</xdr:row>
      <xdr:rowOff>114300</xdr:rowOff>
    </xdr:to>
    <xdr:sp macro="" textlink="">
      <xdr:nvSpPr>
        <xdr:cNvPr id="1034" name="Text Box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 txBox="1">
          <a:spLocks noChangeArrowheads="1"/>
        </xdr:cNvSpPr>
      </xdr:nvSpPr>
      <xdr:spPr bwMode="auto">
        <a:xfrm>
          <a:off x="5133975" y="1257300"/>
          <a:ext cx="990600" cy="2381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Upper edge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/>
        </a:p>
      </xdr:txBody>
    </xdr:sp>
    <xdr:clientData/>
  </xdr:twoCellAnchor>
  <xdr:twoCellAnchor>
    <xdr:from>
      <xdr:col>9</xdr:col>
      <xdr:colOff>323850</xdr:colOff>
      <xdr:row>29</xdr:row>
      <xdr:rowOff>28575</xdr:rowOff>
    </xdr:from>
    <xdr:to>
      <xdr:col>9</xdr:col>
      <xdr:colOff>323850</xdr:colOff>
      <xdr:row>33</xdr:row>
      <xdr:rowOff>47625</xdr:rowOff>
    </xdr:to>
    <xdr:sp macro="" textlink="">
      <xdr:nvSpPr>
        <xdr:cNvPr id="6543" name="Line 17">
          <a:extLst>
            <a:ext uri="{FF2B5EF4-FFF2-40B4-BE49-F238E27FC236}">
              <a16:creationId xmlns:a16="http://schemas.microsoft.com/office/drawing/2014/main" id="{00000000-0008-0000-0000-00008F190000}"/>
            </a:ext>
          </a:extLst>
        </xdr:cNvPr>
        <xdr:cNvSpPr>
          <a:spLocks noChangeShapeType="1"/>
        </xdr:cNvSpPr>
      </xdr:nvSpPr>
      <xdr:spPr bwMode="auto">
        <a:xfrm>
          <a:off x="6362700" y="5248275"/>
          <a:ext cx="0" cy="828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381000</xdr:colOff>
      <xdr:row>29</xdr:row>
      <xdr:rowOff>28575</xdr:rowOff>
    </xdr:from>
    <xdr:to>
      <xdr:col>9</xdr:col>
      <xdr:colOff>314325</xdr:colOff>
      <xdr:row>29</xdr:row>
      <xdr:rowOff>28575</xdr:rowOff>
    </xdr:to>
    <xdr:sp macro="" textlink="">
      <xdr:nvSpPr>
        <xdr:cNvPr id="6544" name="Line 18">
          <a:extLst>
            <a:ext uri="{FF2B5EF4-FFF2-40B4-BE49-F238E27FC236}">
              <a16:creationId xmlns:a16="http://schemas.microsoft.com/office/drawing/2014/main" id="{00000000-0008-0000-0000-000090190000}"/>
            </a:ext>
          </a:extLst>
        </xdr:cNvPr>
        <xdr:cNvSpPr>
          <a:spLocks noChangeShapeType="1"/>
        </xdr:cNvSpPr>
      </xdr:nvSpPr>
      <xdr:spPr bwMode="auto">
        <a:xfrm>
          <a:off x="5048250" y="5248275"/>
          <a:ext cx="13049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371475</xdr:colOff>
      <xdr:row>29</xdr:row>
      <xdr:rowOff>38100</xdr:rowOff>
    </xdr:from>
    <xdr:to>
      <xdr:col>7</xdr:col>
      <xdr:colOff>371475</xdr:colOff>
      <xdr:row>33</xdr:row>
      <xdr:rowOff>19050</xdr:rowOff>
    </xdr:to>
    <xdr:sp macro="" textlink="">
      <xdr:nvSpPr>
        <xdr:cNvPr id="6545" name="Line 19">
          <a:extLst>
            <a:ext uri="{FF2B5EF4-FFF2-40B4-BE49-F238E27FC236}">
              <a16:creationId xmlns:a16="http://schemas.microsoft.com/office/drawing/2014/main" id="{00000000-0008-0000-0000-000091190000}"/>
            </a:ext>
          </a:extLst>
        </xdr:cNvPr>
        <xdr:cNvSpPr>
          <a:spLocks noChangeShapeType="1"/>
        </xdr:cNvSpPr>
      </xdr:nvSpPr>
      <xdr:spPr bwMode="auto">
        <a:xfrm>
          <a:off x="5038725" y="5257800"/>
          <a:ext cx="0" cy="790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371475</xdr:colOff>
      <xdr:row>33</xdr:row>
      <xdr:rowOff>9525</xdr:rowOff>
    </xdr:from>
    <xdr:to>
      <xdr:col>9</xdr:col>
      <xdr:colOff>361950</xdr:colOff>
      <xdr:row>33</xdr:row>
      <xdr:rowOff>9525</xdr:rowOff>
    </xdr:to>
    <xdr:sp macro="" textlink="">
      <xdr:nvSpPr>
        <xdr:cNvPr id="6546" name="Line 20">
          <a:extLst>
            <a:ext uri="{FF2B5EF4-FFF2-40B4-BE49-F238E27FC236}">
              <a16:creationId xmlns:a16="http://schemas.microsoft.com/office/drawing/2014/main" id="{00000000-0008-0000-0000-000092190000}"/>
            </a:ext>
          </a:extLst>
        </xdr:cNvPr>
        <xdr:cNvSpPr>
          <a:spLocks noChangeShapeType="1"/>
        </xdr:cNvSpPr>
      </xdr:nvSpPr>
      <xdr:spPr bwMode="auto">
        <a:xfrm>
          <a:off x="5038725" y="6038850"/>
          <a:ext cx="1362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247650</xdr:colOff>
      <xdr:row>31</xdr:row>
      <xdr:rowOff>0</xdr:rowOff>
    </xdr:from>
    <xdr:to>
      <xdr:col>8</xdr:col>
      <xdr:colOff>247650</xdr:colOff>
      <xdr:row>32</xdr:row>
      <xdr:rowOff>28575</xdr:rowOff>
    </xdr:to>
    <xdr:sp macro="" textlink="">
      <xdr:nvSpPr>
        <xdr:cNvPr id="6547" name="Line 21">
          <a:extLst>
            <a:ext uri="{FF2B5EF4-FFF2-40B4-BE49-F238E27FC236}">
              <a16:creationId xmlns:a16="http://schemas.microsoft.com/office/drawing/2014/main" id="{00000000-0008-0000-0000-000093190000}"/>
            </a:ext>
          </a:extLst>
        </xdr:cNvPr>
        <xdr:cNvSpPr>
          <a:spLocks noChangeShapeType="1"/>
        </xdr:cNvSpPr>
      </xdr:nvSpPr>
      <xdr:spPr bwMode="auto">
        <a:xfrm>
          <a:off x="5715000" y="5543550"/>
          <a:ext cx="0" cy="352425"/>
        </a:xfrm>
        <a:prstGeom prst="line">
          <a:avLst/>
        </a:prstGeom>
        <a:noFill/>
        <a:ln w="28575">
          <a:solidFill>
            <a:srgbClr val="000000"/>
          </a:solidFill>
          <a:round/>
          <a:headEnd type="triangle" w="med" len="sm"/>
          <a:tailEnd type="triangle" w="med" len="sm"/>
        </a:ln>
      </xdr:spPr>
    </xdr:sp>
    <xdr:clientData/>
  </xdr:twoCellAnchor>
  <xdr:twoCellAnchor>
    <xdr:from>
      <xdr:col>7</xdr:col>
      <xdr:colOff>733425</xdr:colOff>
      <xdr:row>31</xdr:row>
      <xdr:rowOff>180975</xdr:rowOff>
    </xdr:from>
    <xdr:to>
      <xdr:col>9</xdr:col>
      <xdr:colOff>57150</xdr:colOff>
      <xdr:row>31</xdr:row>
      <xdr:rowOff>180975</xdr:rowOff>
    </xdr:to>
    <xdr:sp macro="" textlink="">
      <xdr:nvSpPr>
        <xdr:cNvPr id="6548" name="Line 22">
          <a:extLst>
            <a:ext uri="{FF2B5EF4-FFF2-40B4-BE49-F238E27FC236}">
              <a16:creationId xmlns:a16="http://schemas.microsoft.com/office/drawing/2014/main" id="{00000000-0008-0000-0000-000094190000}"/>
            </a:ext>
          </a:extLst>
        </xdr:cNvPr>
        <xdr:cNvSpPr>
          <a:spLocks noChangeShapeType="1"/>
        </xdr:cNvSpPr>
      </xdr:nvSpPr>
      <xdr:spPr bwMode="auto">
        <a:xfrm>
          <a:off x="5400675" y="5724525"/>
          <a:ext cx="695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 type="triangle" w="med" len="sm"/>
          <a:tailEnd type="triangle" w="med" len="sm"/>
        </a:ln>
      </xdr:spPr>
    </xdr:sp>
    <xdr:clientData/>
  </xdr:twoCellAnchor>
  <xdr:twoCellAnchor>
    <xdr:from>
      <xdr:col>7</xdr:col>
      <xdr:colOff>38100</xdr:colOff>
      <xdr:row>31</xdr:row>
      <xdr:rowOff>47625</xdr:rowOff>
    </xdr:from>
    <xdr:to>
      <xdr:col>7</xdr:col>
      <xdr:colOff>704850</xdr:colOff>
      <xdr:row>31</xdr:row>
      <xdr:rowOff>57150</xdr:rowOff>
    </xdr:to>
    <xdr:sp macro="" textlink="">
      <xdr:nvSpPr>
        <xdr:cNvPr id="6549" name="Line 23">
          <a:extLst>
            <a:ext uri="{FF2B5EF4-FFF2-40B4-BE49-F238E27FC236}">
              <a16:creationId xmlns:a16="http://schemas.microsoft.com/office/drawing/2014/main" id="{00000000-0008-0000-0000-000095190000}"/>
            </a:ext>
          </a:extLst>
        </xdr:cNvPr>
        <xdr:cNvSpPr>
          <a:spLocks noChangeShapeType="1"/>
        </xdr:cNvSpPr>
      </xdr:nvSpPr>
      <xdr:spPr bwMode="auto">
        <a:xfrm>
          <a:off x="4705350" y="5591175"/>
          <a:ext cx="666750" cy="9525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 type="triangle" w="sm" len="sm"/>
          <a:tailEnd type="triangle" w="sm" len="sm"/>
        </a:ln>
      </xdr:spPr>
    </xdr:sp>
    <xdr:clientData/>
  </xdr:twoCellAnchor>
  <xdr:twoCellAnchor>
    <xdr:from>
      <xdr:col>7</xdr:col>
      <xdr:colOff>714375</xdr:colOff>
      <xdr:row>31</xdr:row>
      <xdr:rowOff>247650</xdr:rowOff>
    </xdr:from>
    <xdr:to>
      <xdr:col>7</xdr:col>
      <xdr:colOff>714375</xdr:colOff>
      <xdr:row>35</xdr:row>
      <xdr:rowOff>9525</xdr:rowOff>
    </xdr:to>
    <xdr:sp macro="" textlink="">
      <xdr:nvSpPr>
        <xdr:cNvPr id="6550" name="Line 24">
          <a:extLst>
            <a:ext uri="{FF2B5EF4-FFF2-40B4-BE49-F238E27FC236}">
              <a16:creationId xmlns:a16="http://schemas.microsoft.com/office/drawing/2014/main" id="{00000000-0008-0000-0000-000096190000}"/>
            </a:ext>
          </a:extLst>
        </xdr:cNvPr>
        <xdr:cNvSpPr>
          <a:spLocks noChangeShapeType="1"/>
        </xdr:cNvSpPr>
      </xdr:nvSpPr>
      <xdr:spPr bwMode="auto">
        <a:xfrm>
          <a:off x="5381625" y="5791200"/>
          <a:ext cx="0" cy="57150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 type="triangle" w="sm" len="sm"/>
          <a:tailEnd type="triangle" w="sm" len="sm"/>
        </a:ln>
      </xdr:spPr>
    </xdr:sp>
    <xdr:clientData/>
  </xdr:twoCellAnchor>
  <xdr:twoCellAnchor>
    <xdr:from>
      <xdr:col>7</xdr:col>
      <xdr:colOff>666750</xdr:colOff>
      <xdr:row>27</xdr:row>
      <xdr:rowOff>114300</xdr:rowOff>
    </xdr:from>
    <xdr:to>
      <xdr:col>7</xdr:col>
      <xdr:colOff>666750</xdr:colOff>
      <xdr:row>30</xdr:row>
      <xdr:rowOff>0</xdr:rowOff>
    </xdr:to>
    <xdr:sp macro="" textlink="">
      <xdr:nvSpPr>
        <xdr:cNvPr id="6551" name="Line 25">
          <a:extLst>
            <a:ext uri="{FF2B5EF4-FFF2-40B4-BE49-F238E27FC236}">
              <a16:creationId xmlns:a16="http://schemas.microsoft.com/office/drawing/2014/main" id="{00000000-0008-0000-0000-000097190000}"/>
            </a:ext>
          </a:extLst>
        </xdr:cNvPr>
        <xdr:cNvSpPr>
          <a:spLocks noChangeShapeType="1"/>
        </xdr:cNvSpPr>
      </xdr:nvSpPr>
      <xdr:spPr bwMode="auto">
        <a:xfrm>
          <a:off x="5334000" y="5010150"/>
          <a:ext cx="0" cy="371475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9</xdr:col>
      <xdr:colOff>152400</xdr:colOff>
      <xdr:row>31</xdr:row>
      <xdr:rowOff>57150</xdr:rowOff>
    </xdr:from>
    <xdr:to>
      <xdr:col>9</xdr:col>
      <xdr:colOff>628650</xdr:colOff>
      <xdr:row>31</xdr:row>
      <xdr:rowOff>57150</xdr:rowOff>
    </xdr:to>
    <xdr:sp macro="" textlink="">
      <xdr:nvSpPr>
        <xdr:cNvPr id="6552" name="Line 26">
          <a:extLst>
            <a:ext uri="{FF2B5EF4-FFF2-40B4-BE49-F238E27FC236}">
              <a16:creationId xmlns:a16="http://schemas.microsoft.com/office/drawing/2014/main" id="{00000000-0008-0000-0000-000098190000}"/>
            </a:ext>
          </a:extLst>
        </xdr:cNvPr>
        <xdr:cNvSpPr>
          <a:spLocks noChangeShapeType="1"/>
        </xdr:cNvSpPr>
      </xdr:nvSpPr>
      <xdr:spPr bwMode="auto">
        <a:xfrm>
          <a:off x="6191250" y="5600700"/>
          <a:ext cx="476250" cy="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/>
        </a:ln>
      </xdr:spPr>
    </xdr:sp>
    <xdr:clientData/>
  </xdr:twoCellAnchor>
  <xdr:twoCellAnchor>
    <xdr:from>
      <xdr:col>0</xdr:col>
      <xdr:colOff>285750</xdr:colOff>
      <xdr:row>0</xdr:row>
      <xdr:rowOff>28575</xdr:rowOff>
    </xdr:from>
    <xdr:to>
      <xdr:col>2</xdr:col>
      <xdr:colOff>609601</xdr:colOff>
      <xdr:row>1</xdr:row>
      <xdr:rowOff>219075</xdr:rowOff>
    </xdr:to>
    <xdr:pic>
      <xdr:nvPicPr>
        <xdr:cNvPr id="20" name="Picture 1" descr="Description: cid:image005.jpg@01CE2EFA.2EA5E9D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28575"/>
          <a:ext cx="1743076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6</xdr:row>
      <xdr:rowOff>38100</xdr:rowOff>
    </xdr:from>
    <xdr:to>
      <xdr:col>11</xdr:col>
      <xdr:colOff>581025</xdr:colOff>
      <xdr:row>8</xdr:row>
      <xdr:rowOff>142875</xdr:rowOff>
    </xdr:to>
    <xdr:sp macro="" textlink="">
      <xdr:nvSpPr>
        <xdr:cNvPr id="2202" name="Rectangle 1">
          <a:extLst>
            <a:ext uri="{FF2B5EF4-FFF2-40B4-BE49-F238E27FC236}">
              <a16:creationId xmlns:a16="http://schemas.microsoft.com/office/drawing/2014/main" id="{00000000-0008-0000-0300-00009A080000}"/>
            </a:ext>
          </a:extLst>
        </xdr:cNvPr>
        <xdr:cNvSpPr>
          <a:spLocks noChangeArrowheads="1"/>
        </xdr:cNvSpPr>
      </xdr:nvSpPr>
      <xdr:spPr bwMode="auto">
        <a:xfrm>
          <a:off x="7553325" y="1009650"/>
          <a:ext cx="1171575" cy="428625"/>
        </a:xfrm>
        <a:prstGeom prst="rect">
          <a:avLst/>
        </a:prstGeom>
        <a:solidFill>
          <a:srgbClr val="969696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38100</xdr:colOff>
      <xdr:row>5</xdr:row>
      <xdr:rowOff>85725</xdr:rowOff>
    </xdr:from>
    <xdr:to>
      <xdr:col>11</xdr:col>
      <xdr:colOff>571500</xdr:colOff>
      <xdr:row>5</xdr:row>
      <xdr:rowOff>85725</xdr:rowOff>
    </xdr:to>
    <xdr:sp macro="" textlink="">
      <xdr:nvSpPr>
        <xdr:cNvPr id="2203" name="Line 2">
          <a:extLst>
            <a:ext uri="{FF2B5EF4-FFF2-40B4-BE49-F238E27FC236}">
              <a16:creationId xmlns:a16="http://schemas.microsoft.com/office/drawing/2014/main" id="{00000000-0008-0000-0300-00009B080000}"/>
            </a:ext>
          </a:extLst>
        </xdr:cNvPr>
        <xdr:cNvSpPr>
          <a:spLocks noChangeShapeType="1"/>
        </xdr:cNvSpPr>
      </xdr:nvSpPr>
      <xdr:spPr bwMode="auto">
        <a:xfrm>
          <a:off x="7572375" y="895350"/>
          <a:ext cx="1143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oval" w="med" len="med"/>
          <a:tailEnd type="oval" w="med" len="med"/>
        </a:ln>
      </xdr:spPr>
    </xdr:sp>
    <xdr:clientData/>
  </xdr:twoCellAnchor>
  <xdr:twoCellAnchor>
    <xdr:from>
      <xdr:col>12</xdr:col>
      <xdr:colOff>57150</xdr:colOff>
      <xdr:row>6</xdr:row>
      <xdr:rowOff>57150</xdr:rowOff>
    </xdr:from>
    <xdr:to>
      <xdr:col>12</xdr:col>
      <xdr:colOff>57150</xdr:colOff>
      <xdr:row>8</xdr:row>
      <xdr:rowOff>133350</xdr:rowOff>
    </xdr:to>
    <xdr:sp macro="" textlink="">
      <xdr:nvSpPr>
        <xdr:cNvPr id="2204" name="Line 3">
          <a:extLst>
            <a:ext uri="{FF2B5EF4-FFF2-40B4-BE49-F238E27FC236}">
              <a16:creationId xmlns:a16="http://schemas.microsoft.com/office/drawing/2014/main" id="{00000000-0008-0000-0300-00009C080000}"/>
            </a:ext>
          </a:extLst>
        </xdr:cNvPr>
        <xdr:cNvSpPr>
          <a:spLocks noChangeShapeType="1"/>
        </xdr:cNvSpPr>
      </xdr:nvSpPr>
      <xdr:spPr bwMode="auto">
        <a:xfrm>
          <a:off x="8810625" y="1028700"/>
          <a:ext cx="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 type="oval" w="med" len="med"/>
          <a:tailEnd type="oval" w="med" len="med"/>
        </a:ln>
      </xdr:spPr>
    </xdr:sp>
    <xdr:clientData/>
  </xdr:twoCellAnchor>
  <xdr:oneCellAnchor>
    <xdr:from>
      <xdr:col>10</xdr:col>
      <xdr:colOff>142875</xdr:colOff>
      <xdr:row>4</xdr:row>
      <xdr:rowOff>76200</xdr:rowOff>
    </xdr:from>
    <xdr:ext cx="152400" cy="180975"/>
    <xdr:sp macro="" textlink="">
      <xdr:nvSpPr>
        <xdr:cNvPr id="2052" name="Text Box 4">
          <a:extLst>
            <a:ext uri="{FF2B5EF4-FFF2-40B4-BE49-F238E27FC236}">
              <a16:creationId xmlns:a16="http://schemas.microsoft.com/office/drawing/2014/main" id="{00000000-0008-0000-0300-000004080000}"/>
            </a:ext>
          </a:extLst>
        </xdr:cNvPr>
        <xdr:cNvSpPr txBox="1">
          <a:spLocks noChangeArrowheads="1"/>
        </xdr:cNvSpPr>
      </xdr:nvSpPr>
      <xdr:spPr bwMode="auto">
        <a:xfrm>
          <a:off x="7677150" y="723900"/>
          <a:ext cx="209550" cy="200025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Ly</a:t>
          </a:r>
          <a:endParaRPr lang="en-US"/>
        </a:p>
      </xdr:txBody>
    </xdr:sp>
    <xdr:clientData/>
  </xdr:oneCellAnchor>
  <xdr:twoCellAnchor editAs="oneCell">
    <xdr:from>
      <xdr:col>9</xdr:col>
      <xdr:colOff>85725</xdr:colOff>
      <xdr:row>7</xdr:row>
      <xdr:rowOff>0</xdr:rowOff>
    </xdr:from>
    <xdr:to>
      <xdr:col>10</xdr:col>
      <xdr:colOff>19050</xdr:colOff>
      <xdr:row>8</xdr:row>
      <xdr:rowOff>47625</xdr:rowOff>
    </xdr:to>
    <xdr:sp macro="" textlink="">
      <xdr:nvSpPr>
        <xdr:cNvPr id="2053" name="Text Box 5">
          <a:extLst>
            <a:ext uri="{FF2B5EF4-FFF2-40B4-BE49-F238E27FC236}">
              <a16:creationId xmlns:a16="http://schemas.microsoft.com/office/drawing/2014/main" id="{00000000-0008-0000-0300-000005080000}"/>
            </a:ext>
          </a:extLst>
        </xdr:cNvPr>
        <xdr:cNvSpPr txBox="1">
          <a:spLocks noChangeArrowheads="1"/>
        </xdr:cNvSpPr>
      </xdr:nvSpPr>
      <xdr:spPr bwMode="auto">
        <a:xfrm>
          <a:off x="7010400" y="1133475"/>
          <a:ext cx="542925" cy="20955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Left side</a:t>
          </a:r>
        </a:p>
        <a:p>
          <a:pPr algn="l" rtl="0">
            <a:defRPr sz="1000"/>
          </a:pPr>
          <a:endParaRPr lang="en-US"/>
        </a:p>
      </xdr:txBody>
    </xdr:sp>
    <xdr:clientData/>
  </xdr:twoCellAnchor>
  <xdr:oneCellAnchor>
    <xdr:from>
      <xdr:col>12</xdr:col>
      <xdr:colOff>209550</xdr:colOff>
      <xdr:row>7</xdr:row>
      <xdr:rowOff>142875</xdr:rowOff>
    </xdr:from>
    <xdr:ext cx="571500" cy="180975"/>
    <xdr:sp macro="" textlink="">
      <xdr:nvSpPr>
        <xdr:cNvPr id="2054" name="Text Box 6">
          <a:extLst>
            <a:ext uri="{FF2B5EF4-FFF2-40B4-BE49-F238E27FC236}">
              <a16:creationId xmlns:a16="http://schemas.microsoft.com/office/drawing/2014/main" id="{00000000-0008-0000-0300-000006080000}"/>
            </a:ext>
          </a:extLst>
        </xdr:cNvPr>
        <xdr:cNvSpPr txBox="1">
          <a:spLocks noChangeArrowheads="1"/>
        </xdr:cNvSpPr>
      </xdr:nvSpPr>
      <xdr:spPr bwMode="auto">
        <a:xfrm>
          <a:off x="8963025" y="1276350"/>
          <a:ext cx="628650" cy="200025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Right side</a:t>
          </a:r>
          <a:endParaRPr lang="en-US"/>
        </a:p>
      </xdr:txBody>
    </xdr:sp>
    <xdr:clientData/>
  </xdr:oneCellAnchor>
  <xdr:oneCellAnchor>
    <xdr:from>
      <xdr:col>10</xdr:col>
      <xdr:colOff>304800</xdr:colOff>
      <xdr:row>9</xdr:row>
      <xdr:rowOff>38100</xdr:rowOff>
    </xdr:from>
    <xdr:ext cx="609600" cy="180975"/>
    <xdr:sp macro="" textlink="">
      <xdr:nvSpPr>
        <xdr:cNvPr id="2055" name="Text Box 7">
          <a:extLst>
            <a:ext uri="{FF2B5EF4-FFF2-40B4-BE49-F238E27FC236}">
              <a16:creationId xmlns:a16="http://schemas.microsoft.com/office/drawing/2014/main" id="{00000000-0008-0000-0300-000007080000}"/>
            </a:ext>
          </a:extLst>
        </xdr:cNvPr>
        <xdr:cNvSpPr txBox="1">
          <a:spLocks noChangeArrowheads="1"/>
        </xdr:cNvSpPr>
      </xdr:nvSpPr>
      <xdr:spPr bwMode="auto">
        <a:xfrm>
          <a:off x="7839075" y="1495425"/>
          <a:ext cx="666750" cy="200025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Lower side</a:t>
          </a:r>
          <a:endParaRPr lang="en-US"/>
        </a:p>
      </xdr:txBody>
    </xdr:sp>
    <xdr:clientData/>
  </xdr:oneCellAnchor>
  <xdr:twoCellAnchor editAs="oneCell">
    <xdr:from>
      <xdr:col>10</xdr:col>
      <xdr:colOff>495300</xdr:colOff>
      <xdr:row>4</xdr:row>
      <xdr:rowOff>57150</xdr:rowOff>
    </xdr:from>
    <xdr:to>
      <xdr:col>11</xdr:col>
      <xdr:colOff>552450</xdr:colOff>
      <xdr:row>5</xdr:row>
      <xdr:rowOff>133350</xdr:rowOff>
    </xdr:to>
    <xdr:sp macro="" textlink="">
      <xdr:nvSpPr>
        <xdr:cNvPr id="2056" name="Text Box 8">
          <a:extLst>
            <a:ext uri="{FF2B5EF4-FFF2-40B4-BE49-F238E27FC236}">
              <a16:creationId xmlns:a16="http://schemas.microsoft.com/office/drawing/2014/main" id="{00000000-0008-0000-0300-000008080000}"/>
            </a:ext>
          </a:extLst>
        </xdr:cNvPr>
        <xdr:cNvSpPr txBox="1">
          <a:spLocks noChangeArrowheads="1"/>
        </xdr:cNvSpPr>
      </xdr:nvSpPr>
      <xdr:spPr bwMode="auto">
        <a:xfrm>
          <a:off x="8029575" y="704850"/>
          <a:ext cx="666750" cy="2381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Upper side</a:t>
          </a:r>
        </a:p>
        <a:p>
          <a:pPr algn="l" rtl="0">
            <a:defRPr sz="1000"/>
          </a:pPr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295275</xdr:colOff>
      <xdr:row>3</xdr:row>
      <xdr:rowOff>9525</xdr:rowOff>
    </xdr:from>
    <xdr:to>
      <xdr:col>9</xdr:col>
      <xdr:colOff>600075</xdr:colOff>
      <xdr:row>5</xdr:row>
      <xdr:rowOff>0</xdr:rowOff>
    </xdr:to>
    <xdr:sp macro="" textlink="">
      <xdr:nvSpPr>
        <xdr:cNvPr id="5237" name="AutoShape 1">
          <a:extLst>
            <a:ext uri="{FF2B5EF4-FFF2-40B4-BE49-F238E27FC236}">
              <a16:creationId xmlns:a16="http://schemas.microsoft.com/office/drawing/2014/main" id="{00000000-0008-0000-0500-000075140000}"/>
            </a:ext>
          </a:extLst>
        </xdr:cNvPr>
        <xdr:cNvSpPr>
          <a:spLocks noChangeArrowheads="1"/>
        </xdr:cNvSpPr>
      </xdr:nvSpPr>
      <xdr:spPr bwMode="auto">
        <a:xfrm>
          <a:off x="4562475" y="514350"/>
          <a:ext cx="1524000" cy="314325"/>
        </a:xfrm>
        <a:custGeom>
          <a:avLst/>
          <a:gdLst>
            <a:gd name="T0" fmla="*/ 2147483647 w 21600"/>
            <a:gd name="T1" fmla="*/ 2147483647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0 h 21600"/>
            <a:gd name="T8" fmla="*/ 0 60000 65536"/>
            <a:gd name="T9" fmla="*/ 0 60000 65536"/>
            <a:gd name="T10" fmla="*/ 0 60000 65536"/>
            <a:gd name="T11" fmla="*/ 0 60000 65536"/>
            <a:gd name="T12" fmla="*/ 4500 w 21600"/>
            <a:gd name="T13" fmla="*/ 4500 h 21600"/>
            <a:gd name="T14" fmla="*/ 17100 w 21600"/>
            <a:gd name="T15" fmla="*/ 171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0" y="0"/>
              </a:moveTo>
              <a:lnTo>
                <a:pt x="5400" y="21600"/>
              </a:lnTo>
              <a:lnTo>
                <a:pt x="16200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solidFill>
          <a:srgbClr val="969696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285750</xdr:colOff>
      <xdr:row>5</xdr:row>
      <xdr:rowOff>9525</xdr:rowOff>
    </xdr:from>
    <xdr:to>
      <xdr:col>9</xdr:col>
      <xdr:colOff>590550</xdr:colOff>
      <xdr:row>7</xdr:row>
      <xdr:rowOff>66675</xdr:rowOff>
    </xdr:to>
    <xdr:sp macro="" textlink="">
      <xdr:nvSpPr>
        <xdr:cNvPr id="5238" name="AutoShape 2">
          <a:extLst>
            <a:ext uri="{FF2B5EF4-FFF2-40B4-BE49-F238E27FC236}">
              <a16:creationId xmlns:a16="http://schemas.microsoft.com/office/drawing/2014/main" id="{00000000-0008-0000-0500-000076140000}"/>
            </a:ext>
          </a:extLst>
        </xdr:cNvPr>
        <xdr:cNvSpPr>
          <a:spLocks noChangeArrowheads="1"/>
        </xdr:cNvSpPr>
      </xdr:nvSpPr>
      <xdr:spPr bwMode="auto">
        <a:xfrm flipV="1">
          <a:off x="4552950" y="838200"/>
          <a:ext cx="1524000" cy="381000"/>
        </a:xfrm>
        <a:custGeom>
          <a:avLst/>
          <a:gdLst>
            <a:gd name="T0" fmla="*/ 2147483647 w 21600"/>
            <a:gd name="T1" fmla="*/ 2147483647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0 h 21600"/>
            <a:gd name="T8" fmla="*/ 0 60000 65536"/>
            <a:gd name="T9" fmla="*/ 0 60000 65536"/>
            <a:gd name="T10" fmla="*/ 0 60000 65536"/>
            <a:gd name="T11" fmla="*/ 0 60000 65536"/>
            <a:gd name="T12" fmla="*/ 4500 w 21600"/>
            <a:gd name="T13" fmla="*/ 4500 h 21600"/>
            <a:gd name="T14" fmla="*/ 17100 w 21600"/>
            <a:gd name="T15" fmla="*/ 171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0" y="0"/>
              </a:moveTo>
              <a:lnTo>
                <a:pt x="5400" y="21600"/>
              </a:lnTo>
              <a:lnTo>
                <a:pt x="16200" y="21600"/>
              </a:lnTo>
              <a:lnTo>
                <a:pt x="21600" y="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314325</xdr:colOff>
      <xdr:row>3</xdr:row>
      <xdr:rowOff>19050</xdr:rowOff>
    </xdr:from>
    <xdr:to>
      <xdr:col>7</xdr:col>
      <xdr:colOff>314325</xdr:colOff>
      <xdr:row>7</xdr:row>
      <xdr:rowOff>47625</xdr:rowOff>
    </xdr:to>
    <xdr:sp macro="" textlink="">
      <xdr:nvSpPr>
        <xdr:cNvPr id="5239" name="Line 3">
          <a:extLst>
            <a:ext uri="{FF2B5EF4-FFF2-40B4-BE49-F238E27FC236}">
              <a16:creationId xmlns:a16="http://schemas.microsoft.com/office/drawing/2014/main" id="{00000000-0008-0000-0500-000077140000}"/>
            </a:ext>
          </a:extLst>
        </xdr:cNvPr>
        <xdr:cNvSpPr>
          <a:spLocks noChangeShapeType="1"/>
        </xdr:cNvSpPr>
      </xdr:nvSpPr>
      <xdr:spPr bwMode="auto">
        <a:xfrm>
          <a:off x="4581525" y="523875"/>
          <a:ext cx="0" cy="676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600075</xdr:colOff>
      <xdr:row>3</xdr:row>
      <xdr:rowOff>9525</xdr:rowOff>
    </xdr:from>
    <xdr:to>
      <xdr:col>9</xdr:col>
      <xdr:colOff>600075</xdr:colOff>
      <xdr:row>7</xdr:row>
      <xdr:rowOff>85725</xdr:rowOff>
    </xdr:to>
    <xdr:sp macro="" textlink="">
      <xdr:nvSpPr>
        <xdr:cNvPr id="5240" name="Line 4">
          <a:extLst>
            <a:ext uri="{FF2B5EF4-FFF2-40B4-BE49-F238E27FC236}">
              <a16:creationId xmlns:a16="http://schemas.microsoft.com/office/drawing/2014/main" id="{00000000-0008-0000-0500-000078140000}"/>
            </a:ext>
          </a:extLst>
        </xdr:cNvPr>
        <xdr:cNvSpPr>
          <a:spLocks noChangeShapeType="1"/>
        </xdr:cNvSpPr>
      </xdr:nvSpPr>
      <xdr:spPr bwMode="auto">
        <a:xfrm>
          <a:off x="6086475" y="514350"/>
          <a:ext cx="0" cy="723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352425</xdr:colOff>
      <xdr:row>4</xdr:row>
      <xdr:rowOff>66675</xdr:rowOff>
    </xdr:from>
    <xdr:to>
      <xdr:col>8</xdr:col>
      <xdr:colOff>266700</xdr:colOff>
      <xdr:row>8</xdr:row>
      <xdr:rowOff>0</xdr:rowOff>
    </xdr:to>
    <xdr:sp macro="" textlink="">
      <xdr:nvSpPr>
        <xdr:cNvPr id="5241" name="Line 7">
          <a:extLst>
            <a:ext uri="{FF2B5EF4-FFF2-40B4-BE49-F238E27FC236}">
              <a16:creationId xmlns:a16="http://schemas.microsoft.com/office/drawing/2014/main" id="{00000000-0008-0000-0500-000079140000}"/>
            </a:ext>
          </a:extLst>
        </xdr:cNvPr>
        <xdr:cNvSpPr>
          <a:spLocks noChangeShapeType="1"/>
        </xdr:cNvSpPr>
      </xdr:nvSpPr>
      <xdr:spPr bwMode="auto">
        <a:xfrm flipV="1">
          <a:off x="4619625" y="733425"/>
          <a:ext cx="523875" cy="600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7</xdr:col>
      <xdr:colOff>361950</xdr:colOff>
      <xdr:row>6</xdr:row>
      <xdr:rowOff>133350</xdr:rowOff>
    </xdr:from>
    <xdr:to>
      <xdr:col>8</xdr:col>
      <xdr:colOff>314325</xdr:colOff>
      <xdr:row>8</xdr:row>
      <xdr:rowOff>19050</xdr:rowOff>
    </xdr:to>
    <xdr:sp macro="" textlink="">
      <xdr:nvSpPr>
        <xdr:cNvPr id="5242" name="Line 8">
          <a:extLst>
            <a:ext uri="{FF2B5EF4-FFF2-40B4-BE49-F238E27FC236}">
              <a16:creationId xmlns:a16="http://schemas.microsoft.com/office/drawing/2014/main" id="{00000000-0008-0000-0500-00007A140000}"/>
            </a:ext>
          </a:extLst>
        </xdr:cNvPr>
        <xdr:cNvSpPr>
          <a:spLocks noChangeShapeType="1"/>
        </xdr:cNvSpPr>
      </xdr:nvSpPr>
      <xdr:spPr bwMode="auto">
        <a:xfrm flipV="1">
          <a:off x="4629150" y="1123950"/>
          <a:ext cx="561975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15</xdr:row>
      <xdr:rowOff>133350</xdr:rowOff>
    </xdr:from>
    <xdr:ext cx="1552575" cy="180975"/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00000000-0008-0000-0800-000001100000}"/>
            </a:ext>
          </a:extLst>
        </xdr:cNvPr>
        <xdr:cNvSpPr txBox="1">
          <a:spLocks noChangeArrowheads="1"/>
        </xdr:cNvSpPr>
      </xdr:nvSpPr>
      <xdr:spPr bwMode="auto">
        <a:xfrm>
          <a:off x="114300" y="2562225"/>
          <a:ext cx="1609725" cy="200025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Stress in steel= fs= 0.58  fy</a:t>
          </a:r>
          <a:endParaRPr lang="en-US"/>
        </a:p>
      </xdr:txBody>
    </xdr:sp>
    <xdr:clientData/>
  </xdr:oneCellAnchor>
  <xdr:twoCellAnchor>
    <xdr:from>
      <xdr:col>2</xdr:col>
      <xdr:colOff>533400</xdr:colOff>
      <xdr:row>16</xdr:row>
      <xdr:rowOff>57150</xdr:rowOff>
    </xdr:from>
    <xdr:to>
      <xdr:col>6</xdr:col>
      <xdr:colOff>504825</xdr:colOff>
      <xdr:row>16</xdr:row>
      <xdr:rowOff>57150</xdr:rowOff>
    </xdr:to>
    <xdr:sp macro="" textlink="">
      <xdr:nvSpPr>
        <xdr:cNvPr id="4252" name="Line 4">
          <a:extLst>
            <a:ext uri="{FF2B5EF4-FFF2-40B4-BE49-F238E27FC236}">
              <a16:creationId xmlns:a16="http://schemas.microsoft.com/office/drawing/2014/main" id="{00000000-0008-0000-0800-00009C100000}"/>
            </a:ext>
          </a:extLst>
        </xdr:cNvPr>
        <xdr:cNvSpPr>
          <a:spLocks noChangeShapeType="1"/>
        </xdr:cNvSpPr>
      </xdr:nvSpPr>
      <xdr:spPr bwMode="auto">
        <a:xfrm>
          <a:off x="1752600" y="2647950"/>
          <a:ext cx="2647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3</xdr:col>
      <xdr:colOff>85725</xdr:colOff>
      <xdr:row>15</xdr:row>
      <xdr:rowOff>0</xdr:rowOff>
    </xdr:from>
    <xdr:ext cx="2104326" cy="179601"/>
    <xdr:sp macro="" textlink="">
      <xdr:nvSpPr>
        <xdr:cNvPr id="4101" name="Text Box 5">
          <a:extLst>
            <a:ext uri="{FF2B5EF4-FFF2-40B4-BE49-F238E27FC236}">
              <a16:creationId xmlns:a16="http://schemas.microsoft.com/office/drawing/2014/main" id="{00000000-0008-0000-0800-000005100000}"/>
            </a:ext>
          </a:extLst>
        </xdr:cNvPr>
        <xdr:cNvSpPr txBox="1">
          <a:spLocks noChangeArrowheads="1"/>
        </xdr:cNvSpPr>
      </xdr:nvSpPr>
      <xdr:spPr bwMode="auto">
        <a:xfrm>
          <a:off x="1914525" y="2428875"/>
          <a:ext cx="2170979" cy="1796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Area of cross section of steel required</a:t>
          </a:r>
          <a:endParaRPr lang="en-US"/>
        </a:p>
      </xdr:txBody>
    </xdr:sp>
    <xdr:clientData/>
  </xdr:oneCellAnchor>
  <xdr:oneCellAnchor>
    <xdr:from>
      <xdr:col>3</xdr:col>
      <xdr:colOff>114300</xdr:colOff>
      <xdr:row>16</xdr:row>
      <xdr:rowOff>76200</xdr:rowOff>
    </xdr:from>
    <xdr:ext cx="2116138" cy="179601"/>
    <xdr:sp macro="" textlink="">
      <xdr:nvSpPr>
        <xdr:cNvPr id="4102" name="Text Box 6">
          <a:extLst>
            <a:ext uri="{FF2B5EF4-FFF2-40B4-BE49-F238E27FC236}">
              <a16:creationId xmlns:a16="http://schemas.microsoft.com/office/drawing/2014/main" id="{00000000-0008-0000-0800-000006100000}"/>
            </a:ext>
          </a:extLst>
        </xdr:cNvPr>
        <xdr:cNvSpPr txBox="1">
          <a:spLocks noChangeArrowheads="1"/>
        </xdr:cNvSpPr>
      </xdr:nvSpPr>
      <xdr:spPr bwMode="auto">
        <a:xfrm>
          <a:off x="1943100" y="2667000"/>
          <a:ext cx="2192395" cy="1796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Area of cross section of steel provided</a:t>
          </a:r>
          <a:endParaRPr lang="en-US"/>
        </a:p>
      </xdr:txBody>
    </xdr:sp>
    <xdr:clientData/>
  </xdr:oneCellAnchor>
  <xdr:oneCellAnchor>
    <xdr:from>
      <xdr:col>0</xdr:col>
      <xdr:colOff>171450</xdr:colOff>
      <xdr:row>19</xdr:row>
      <xdr:rowOff>0</xdr:rowOff>
    </xdr:from>
    <xdr:ext cx="1181100" cy="180975"/>
    <xdr:sp macro="" textlink="">
      <xdr:nvSpPr>
        <xdr:cNvPr id="4103" name="Text Box 7">
          <a:extLst>
            <a:ext uri="{FF2B5EF4-FFF2-40B4-BE49-F238E27FC236}">
              <a16:creationId xmlns:a16="http://schemas.microsoft.com/office/drawing/2014/main" id="{00000000-0008-0000-0800-000007100000}"/>
            </a:ext>
          </a:extLst>
        </xdr:cNvPr>
        <xdr:cNvSpPr txBox="1">
          <a:spLocks noChangeArrowheads="1"/>
        </xdr:cNvSpPr>
      </xdr:nvSpPr>
      <xdr:spPr bwMode="auto">
        <a:xfrm>
          <a:off x="171450" y="3076575"/>
          <a:ext cx="1238250" cy="200025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Modification Factor =</a:t>
          </a:r>
          <a:endParaRPr lang="en-US"/>
        </a:p>
      </xdr:txBody>
    </xdr:sp>
    <xdr:clientData/>
  </xdr:oneCellAnchor>
  <xdr:twoCellAnchor>
    <xdr:from>
      <xdr:col>2</xdr:col>
      <xdr:colOff>190500</xdr:colOff>
      <xdr:row>19</xdr:row>
      <xdr:rowOff>85725</xdr:rowOff>
    </xdr:from>
    <xdr:to>
      <xdr:col>6</xdr:col>
      <xdr:colOff>123825</xdr:colOff>
      <xdr:row>19</xdr:row>
      <xdr:rowOff>85725</xdr:rowOff>
    </xdr:to>
    <xdr:sp macro="" textlink="">
      <xdr:nvSpPr>
        <xdr:cNvPr id="4256" name="Line 8">
          <a:extLst>
            <a:ext uri="{FF2B5EF4-FFF2-40B4-BE49-F238E27FC236}">
              <a16:creationId xmlns:a16="http://schemas.microsoft.com/office/drawing/2014/main" id="{00000000-0008-0000-0800-0000A0100000}"/>
            </a:ext>
          </a:extLst>
        </xdr:cNvPr>
        <xdr:cNvSpPr>
          <a:spLocks noChangeShapeType="1"/>
        </xdr:cNvSpPr>
      </xdr:nvSpPr>
      <xdr:spPr bwMode="auto">
        <a:xfrm>
          <a:off x="1409700" y="3162300"/>
          <a:ext cx="2609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3</xdr:col>
      <xdr:colOff>485775</xdr:colOff>
      <xdr:row>18</xdr:row>
      <xdr:rowOff>66675</xdr:rowOff>
    </xdr:from>
    <xdr:ext cx="85725" cy="180975"/>
    <xdr:sp macro="" textlink="">
      <xdr:nvSpPr>
        <xdr:cNvPr id="4105" name="Text Box 9">
          <a:extLst>
            <a:ext uri="{FF2B5EF4-FFF2-40B4-BE49-F238E27FC236}">
              <a16:creationId xmlns:a16="http://schemas.microsoft.com/office/drawing/2014/main" id="{00000000-0008-0000-0800-000009100000}"/>
            </a:ext>
          </a:extLst>
        </xdr:cNvPr>
        <xdr:cNvSpPr txBox="1">
          <a:spLocks noChangeArrowheads="1"/>
        </xdr:cNvSpPr>
      </xdr:nvSpPr>
      <xdr:spPr bwMode="auto">
        <a:xfrm>
          <a:off x="2314575" y="2981325"/>
          <a:ext cx="142875" cy="200025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en-US"/>
        </a:p>
      </xdr:txBody>
    </xdr:sp>
    <xdr:clientData/>
  </xdr:oneCellAnchor>
  <xdr:oneCellAnchor>
    <xdr:from>
      <xdr:col>2</xdr:col>
      <xdr:colOff>161925</xdr:colOff>
      <xdr:row>19</xdr:row>
      <xdr:rowOff>114300</xdr:rowOff>
    </xdr:from>
    <xdr:ext cx="2358008" cy="217412"/>
    <xdr:sp macro="" textlink="">
      <xdr:nvSpPr>
        <xdr:cNvPr id="4106" name="Text Box 10">
          <a:extLst>
            <a:ext uri="{FF2B5EF4-FFF2-40B4-BE49-F238E27FC236}">
              <a16:creationId xmlns:a16="http://schemas.microsoft.com/office/drawing/2014/main" id="{00000000-0008-0000-0800-00000A100000}"/>
            </a:ext>
          </a:extLst>
        </xdr:cNvPr>
        <xdr:cNvSpPr txBox="1">
          <a:spLocks noChangeArrowheads="1"/>
        </xdr:cNvSpPr>
      </xdr:nvSpPr>
      <xdr:spPr bwMode="auto">
        <a:xfrm>
          <a:off x="1381125" y="3190875"/>
          <a:ext cx="2462597" cy="1796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{0.225+0.00322 fs -0.625 log</a:t>
          </a:r>
          <a:r>
            <a:rPr lang="en-US" sz="1000" b="0" i="0" u="none" strike="noStrike" baseline="-25000">
              <a:solidFill>
                <a:srgbClr val="000000"/>
              </a:solidFill>
              <a:latin typeface="Arial"/>
              <a:cs typeface="Arial"/>
            </a:rPr>
            <a:t>10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(bd/100Ast)}</a:t>
          </a:r>
          <a:endParaRPr lang="en-US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247650</xdr:colOff>
      <xdr:row>24</xdr:row>
      <xdr:rowOff>57150</xdr:rowOff>
    </xdr:from>
    <xdr:to>
      <xdr:col>3</xdr:col>
      <xdr:colOff>180975</xdr:colOff>
      <xdr:row>27</xdr:row>
      <xdr:rowOff>9525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 txBox="1">
          <a:spLocks noChangeArrowheads="1"/>
        </xdr:cNvSpPr>
      </xdr:nvSpPr>
      <xdr:spPr bwMode="auto">
        <a:xfrm>
          <a:off x="1466850" y="3962400"/>
          <a:ext cx="542925" cy="43815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Xu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=</a:t>
          </a:r>
        </a:p>
        <a:p>
          <a:pPr algn="l" rtl="0">
            <a:defRPr sz="1000"/>
          </a:pPr>
          <a:endParaRPr lang="en-US"/>
        </a:p>
      </xdr:txBody>
    </xdr:sp>
    <xdr:clientData/>
  </xdr:twoCellAnchor>
  <xdr:twoCellAnchor>
    <xdr:from>
      <xdr:col>3</xdr:col>
      <xdr:colOff>161925</xdr:colOff>
      <xdr:row>25</xdr:row>
      <xdr:rowOff>9525</xdr:rowOff>
    </xdr:from>
    <xdr:to>
      <xdr:col>5</xdr:col>
      <xdr:colOff>333375</xdr:colOff>
      <xdr:row>25</xdr:row>
      <xdr:rowOff>9525</xdr:rowOff>
    </xdr:to>
    <xdr:sp macro="" textlink="">
      <xdr:nvSpPr>
        <xdr:cNvPr id="3284" name="Line 3"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>
          <a:spLocks noChangeShapeType="1"/>
        </xdr:cNvSpPr>
      </xdr:nvSpPr>
      <xdr:spPr bwMode="auto">
        <a:xfrm>
          <a:off x="1990725" y="4076700"/>
          <a:ext cx="1390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3</xdr:col>
      <xdr:colOff>542925</xdr:colOff>
      <xdr:row>23</xdr:row>
      <xdr:rowOff>123825</xdr:rowOff>
    </xdr:from>
    <xdr:ext cx="409575" cy="180975"/>
    <xdr:sp macro="" textlink="">
      <xdr:nvSpPr>
        <xdr:cNvPr id="3076" name="Text Box 4"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SpPr txBox="1">
          <a:spLocks noChangeArrowheads="1"/>
        </xdr:cNvSpPr>
      </xdr:nvSpPr>
      <xdr:spPr bwMode="auto">
        <a:xfrm>
          <a:off x="2371725" y="3867150"/>
          <a:ext cx="466725" cy="200025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1" u="none" strike="noStrike" baseline="0">
              <a:solidFill>
                <a:srgbClr val="000000"/>
              </a:solidFill>
              <a:latin typeface="Arial"/>
              <a:cs typeface="Arial"/>
            </a:rPr>
            <a:t>0.0035</a:t>
          </a:r>
          <a:endParaRPr lang="en-US"/>
        </a:p>
      </xdr:txBody>
    </xdr:sp>
    <xdr:clientData/>
  </xdr:oneCellAnchor>
  <xdr:twoCellAnchor editAs="oneCell">
    <xdr:from>
      <xdr:col>3</xdr:col>
      <xdr:colOff>257175</xdr:colOff>
      <xdr:row>25</xdr:row>
      <xdr:rowOff>66675</xdr:rowOff>
    </xdr:from>
    <xdr:to>
      <xdr:col>5</xdr:col>
      <xdr:colOff>200025</xdr:colOff>
      <xdr:row>26</xdr:row>
      <xdr:rowOff>114300</xdr:rowOff>
    </xdr:to>
    <xdr:sp macro="" textlink="">
      <xdr:nvSpPr>
        <xdr:cNvPr id="3077" name="Text Box 5"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SpPr txBox="1">
          <a:spLocks noChangeArrowheads="1"/>
        </xdr:cNvSpPr>
      </xdr:nvSpPr>
      <xdr:spPr bwMode="auto">
        <a:xfrm>
          <a:off x="2085975" y="4133850"/>
          <a:ext cx="1162050" cy="20955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1" u="none" strike="noStrike" baseline="0">
              <a:solidFill>
                <a:srgbClr val="000000"/>
              </a:solidFill>
              <a:latin typeface="Arial"/>
              <a:cs typeface="Arial"/>
            </a:rPr>
            <a:t>(0.0055+0.87 fy/Es)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/>
        </a:p>
      </xdr:txBody>
    </xdr:sp>
    <xdr:clientData/>
  </xdr:twoCellAnchor>
  <xdr:twoCellAnchor>
    <xdr:from>
      <xdr:col>8</xdr:col>
      <xdr:colOff>0</xdr:colOff>
      <xdr:row>21</xdr:row>
      <xdr:rowOff>152400</xdr:rowOff>
    </xdr:from>
    <xdr:to>
      <xdr:col>8</xdr:col>
      <xdr:colOff>0</xdr:colOff>
      <xdr:row>27</xdr:row>
      <xdr:rowOff>0</xdr:rowOff>
    </xdr:to>
    <xdr:sp macro="" textlink="">
      <xdr:nvSpPr>
        <xdr:cNvPr id="3287" name="Line 6"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SpPr>
          <a:spLocks noChangeShapeType="1"/>
        </xdr:cNvSpPr>
      </xdr:nvSpPr>
      <xdr:spPr bwMode="auto">
        <a:xfrm>
          <a:off x="5286375" y="3571875"/>
          <a:ext cx="0" cy="819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142875</xdr:colOff>
      <xdr:row>22</xdr:row>
      <xdr:rowOff>9525</xdr:rowOff>
    </xdr:from>
    <xdr:to>
      <xdr:col>8</xdr:col>
      <xdr:colOff>390525</xdr:colOff>
      <xdr:row>27</xdr:row>
      <xdr:rowOff>9525</xdr:rowOff>
    </xdr:to>
    <xdr:sp macro="" textlink="">
      <xdr:nvSpPr>
        <xdr:cNvPr id="3288" name="Line 7"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SpPr>
          <a:spLocks noChangeShapeType="1"/>
        </xdr:cNvSpPr>
      </xdr:nvSpPr>
      <xdr:spPr bwMode="auto">
        <a:xfrm flipH="1">
          <a:off x="4724400" y="3590925"/>
          <a:ext cx="952500" cy="809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152400</xdr:rowOff>
    </xdr:from>
    <xdr:to>
      <xdr:col>8</xdr:col>
      <xdr:colOff>438150</xdr:colOff>
      <xdr:row>22</xdr:row>
      <xdr:rowOff>0</xdr:rowOff>
    </xdr:to>
    <xdr:sp macro="" textlink="">
      <xdr:nvSpPr>
        <xdr:cNvPr id="3289" name="Line 8"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SpPr>
          <a:spLocks noChangeShapeType="1"/>
        </xdr:cNvSpPr>
      </xdr:nvSpPr>
      <xdr:spPr bwMode="auto">
        <a:xfrm>
          <a:off x="5286375" y="3571875"/>
          <a:ext cx="4381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161925</xdr:colOff>
      <xdr:row>27</xdr:row>
      <xdr:rowOff>9525</xdr:rowOff>
    </xdr:from>
    <xdr:to>
      <xdr:col>8</xdr:col>
      <xdr:colOff>0</xdr:colOff>
      <xdr:row>27</xdr:row>
      <xdr:rowOff>9525</xdr:rowOff>
    </xdr:to>
    <xdr:sp macro="" textlink="">
      <xdr:nvSpPr>
        <xdr:cNvPr id="3290" name="Line 9"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>
          <a:spLocks noChangeShapeType="1"/>
        </xdr:cNvSpPr>
      </xdr:nvSpPr>
      <xdr:spPr bwMode="auto">
        <a:xfrm>
          <a:off x="4743450" y="4400550"/>
          <a:ext cx="5429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419100</xdr:colOff>
      <xdr:row>22</xdr:row>
      <xdr:rowOff>19050</xdr:rowOff>
    </xdr:from>
    <xdr:to>
      <xdr:col>7</xdr:col>
      <xdr:colOff>419100</xdr:colOff>
      <xdr:row>24</xdr:row>
      <xdr:rowOff>85725</xdr:rowOff>
    </xdr:to>
    <xdr:sp macro="" textlink="">
      <xdr:nvSpPr>
        <xdr:cNvPr id="3291" name="Line 10"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>
          <a:spLocks noChangeShapeType="1"/>
        </xdr:cNvSpPr>
      </xdr:nvSpPr>
      <xdr:spPr bwMode="auto">
        <a:xfrm>
          <a:off x="5000625" y="3600450"/>
          <a:ext cx="0" cy="390525"/>
        </a:xfrm>
        <a:prstGeom prst="line">
          <a:avLst/>
        </a:prstGeom>
        <a:noFill/>
        <a:ln w="9525">
          <a:solidFill>
            <a:srgbClr val="000000"/>
          </a:solidFill>
          <a:round/>
          <a:headEnd type="oval" w="med" len="med"/>
          <a:tailEnd type="oval" w="med" len="med"/>
        </a:ln>
      </xdr:spPr>
    </xdr:sp>
    <xdr:clientData/>
  </xdr:twoCellAnchor>
  <xdr:oneCellAnchor>
    <xdr:from>
      <xdr:col>7</xdr:col>
      <xdr:colOff>161925</xdr:colOff>
      <xdr:row>22</xdr:row>
      <xdr:rowOff>104775</xdr:rowOff>
    </xdr:from>
    <xdr:ext cx="180975" cy="342900"/>
    <xdr:sp macro="" textlink="">
      <xdr:nvSpPr>
        <xdr:cNvPr id="3083" name="Text Box 11"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SpPr txBox="1">
          <a:spLocks noChangeArrowheads="1"/>
        </xdr:cNvSpPr>
      </xdr:nvSpPr>
      <xdr:spPr bwMode="auto">
        <a:xfrm>
          <a:off x="4743450" y="3686175"/>
          <a:ext cx="238125" cy="36195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Xul</a:t>
          </a:r>
        </a:p>
        <a:p>
          <a:pPr algn="l" rtl="0">
            <a:defRPr sz="1000"/>
          </a:pPr>
          <a:endParaRPr lang="en-US"/>
        </a:p>
      </xdr:txBody>
    </xdr:sp>
    <xdr:clientData/>
  </xdr:oneCellAnchor>
  <xdr:twoCellAnchor editAs="oneCell">
    <xdr:from>
      <xdr:col>5</xdr:col>
      <xdr:colOff>447675</xdr:colOff>
      <xdr:row>24</xdr:row>
      <xdr:rowOff>57150</xdr:rowOff>
    </xdr:from>
    <xdr:to>
      <xdr:col>5</xdr:col>
      <xdr:colOff>809625</xdr:colOff>
      <xdr:row>26</xdr:row>
      <xdr:rowOff>47625</xdr:rowOff>
    </xdr:to>
    <xdr:sp macro="" textlink="">
      <xdr:nvSpPr>
        <xdr:cNvPr id="3084" name="Text Box 12"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SpPr txBox="1">
          <a:spLocks noChangeArrowheads="1"/>
        </xdr:cNvSpPr>
      </xdr:nvSpPr>
      <xdr:spPr bwMode="auto">
        <a:xfrm>
          <a:off x="3495675" y="3962400"/>
          <a:ext cx="361950" cy="3143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1" u="none" strike="noStrike" baseline="0">
              <a:solidFill>
                <a:srgbClr val="000000"/>
              </a:solidFill>
              <a:latin typeface="Arial"/>
              <a:cs typeface="Arial"/>
            </a:rPr>
            <a:t>x d</a:t>
          </a:r>
          <a:endParaRPr lang="en-US"/>
        </a:p>
      </xdr:txBody>
    </xdr:sp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13" Type="http://schemas.openxmlformats.org/officeDocument/2006/relationships/revisionLog" Target="revisionLog12.xml"/><Relationship Id="rId18" Type="http://schemas.openxmlformats.org/officeDocument/2006/relationships/revisionLog" Target="revisionLog17.xml"/><Relationship Id="rId26" Type="http://schemas.openxmlformats.org/officeDocument/2006/relationships/revisionLog" Target="revisionLog25.xml"/><Relationship Id="rId39" Type="http://schemas.openxmlformats.org/officeDocument/2006/relationships/revisionLog" Target="revisionLog38.xml"/><Relationship Id="rId8" Type="http://schemas.openxmlformats.org/officeDocument/2006/relationships/revisionLog" Target="revisionLog7.xml"/><Relationship Id="rId21" Type="http://schemas.openxmlformats.org/officeDocument/2006/relationships/revisionLog" Target="revisionLog20.xml"/><Relationship Id="rId34" Type="http://schemas.openxmlformats.org/officeDocument/2006/relationships/revisionLog" Target="revisionLog33.xml"/><Relationship Id="rId3" Type="http://schemas.openxmlformats.org/officeDocument/2006/relationships/revisionLog" Target="revisionLog3.xml"/><Relationship Id="rId7" Type="http://schemas.openxmlformats.org/officeDocument/2006/relationships/revisionLog" Target="revisionLog6.xml"/><Relationship Id="rId12" Type="http://schemas.openxmlformats.org/officeDocument/2006/relationships/revisionLog" Target="revisionLog11.xml"/><Relationship Id="rId17" Type="http://schemas.openxmlformats.org/officeDocument/2006/relationships/revisionLog" Target="revisionLog16.xml"/><Relationship Id="rId25" Type="http://schemas.openxmlformats.org/officeDocument/2006/relationships/revisionLog" Target="revisionLog24.xml"/><Relationship Id="rId33" Type="http://schemas.openxmlformats.org/officeDocument/2006/relationships/revisionLog" Target="revisionLog32.xml"/><Relationship Id="rId38" Type="http://schemas.openxmlformats.org/officeDocument/2006/relationships/revisionLog" Target="revisionLog37.xml"/><Relationship Id="rId2" Type="http://schemas.openxmlformats.org/officeDocument/2006/relationships/revisionLog" Target="revisionLog2.xml"/><Relationship Id="rId16" Type="http://schemas.openxmlformats.org/officeDocument/2006/relationships/revisionLog" Target="revisionLog15.xml"/><Relationship Id="rId20" Type="http://schemas.openxmlformats.org/officeDocument/2006/relationships/revisionLog" Target="revisionLog19.xml"/><Relationship Id="rId29" Type="http://schemas.openxmlformats.org/officeDocument/2006/relationships/revisionLog" Target="revisionLog28.xml"/><Relationship Id="rId41" Type="http://schemas.openxmlformats.org/officeDocument/2006/relationships/revisionLog" Target="revisionLog40.xml"/><Relationship Id="rId6" Type="http://schemas.openxmlformats.org/officeDocument/2006/relationships/revisionLog" Target="revisionLog5.xml"/><Relationship Id="rId11" Type="http://schemas.openxmlformats.org/officeDocument/2006/relationships/revisionLog" Target="revisionLog10.xml"/><Relationship Id="rId24" Type="http://schemas.openxmlformats.org/officeDocument/2006/relationships/revisionLog" Target="revisionLog23.xml"/><Relationship Id="rId32" Type="http://schemas.openxmlformats.org/officeDocument/2006/relationships/revisionLog" Target="revisionLog31.xml"/><Relationship Id="rId37" Type="http://schemas.openxmlformats.org/officeDocument/2006/relationships/revisionLog" Target="revisionLog36.xml"/><Relationship Id="rId40" Type="http://schemas.openxmlformats.org/officeDocument/2006/relationships/revisionLog" Target="revisionLog39.xml"/><Relationship Id="rId5" Type="http://schemas.openxmlformats.org/officeDocument/2006/relationships/revisionLog" Target="revisionLog4.xml"/><Relationship Id="rId15" Type="http://schemas.openxmlformats.org/officeDocument/2006/relationships/revisionLog" Target="revisionLog14.xml"/><Relationship Id="rId23" Type="http://schemas.openxmlformats.org/officeDocument/2006/relationships/revisionLog" Target="revisionLog22.xml"/><Relationship Id="rId28" Type="http://schemas.openxmlformats.org/officeDocument/2006/relationships/revisionLog" Target="revisionLog27.xml"/><Relationship Id="rId36" Type="http://schemas.openxmlformats.org/officeDocument/2006/relationships/revisionLog" Target="revisionLog35.xml"/><Relationship Id="rId10" Type="http://schemas.openxmlformats.org/officeDocument/2006/relationships/revisionLog" Target="revisionLog9.xml"/><Relationship Id="rId19" Type="http://schemas.openxmlformats.org/officeDocument/2006/relationships/revisionLog" Target="revisionLog18.xml"/><Relationship Id="rId31" Type="http://schemas.openxmlformats.org/officeDocument/2006/relationships/revisionLog" Target="revisionLog30.xml"/><Relationship Id="rId4" Type="http://schemas.openxmlformats.org/officeDocument/2006/relationships/revisionLog" Target="revisionLog1.xml"/><Relationship Id="rId9" Type="http://schemas.openxmlformats.org/officeDocument/2006/relationships/revisionLog" Target="revisionLog8.xml"/><Relationship Id="rId14" Type="http://schemas.openxmlformats.org/officeDocument/2006/relationships/revisionLog" Target="revisionLog13.xml"/><Relationship Id="rId22" Type="http://schemas.openxmlformats.org/officeDocument/2006/relationships/revisionLog" Target="revisionLog21.xml"/><Relationship Id="rId27" Type="http://schemas.openxmlformats.org/officeDocument/2006/relationships/revisionLog" Target="revisionLog26.xml"/><Relationship Id="rId30" Type="http://schemas.openxmlformats.org/officeDocument/2006/relationships/revisionLog" Target="revisionLog29.xml"/><Relationship Id="rId35" Type="http://schemas.openxmlformats.org/officeDocument/2006/relationships/revisionLog" Target="revisionLog3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03F4626E-0367-4E65-A2E4-8210089CBCBF}" diskRevisions="1" revisionId="285" version="41">
  <header guid="{DC7D8796-0BA5-41E0-94C9-5EBDB6325269}" dateTime="2014-06-03T17:25:36" maxSheetId="13" userName="user223" r:id="rId2" minRId="1" maxRId="14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165D230C-C029-45D1-B251-978849BC0A88}" dateTime="2014-06-09T11:01:57" maxSheetId="13" userName="user223" r:id="rId3" minRId="16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622E6C0A-4B94-4F5A-93D5-4B5180410D2C}" dateTime="2015-03-10T12:29:57" maxSheetId="13" userName="GOEL Anshika" r:id="rId4" minRId="17" maxRId="24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D687AC4D-DB3A-4C32-88AF-08CB64478226}" dateTime="2015-03-17T17:04:50" maxSheetId="13" userName="GOEL Anshika" r:id="rId5" minRId="26" maxRId="27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3DD33AC4-03D3-4D1C-85C3-BC8EB999C498}" dateTime="2015-07-13T11:35:06" maxSheetId="13" userName="GOEL Anshika" r:id="rId6" minRId="29" maxRId="38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E43C981E-1450-4DE7-8D71-0AAB1173E670}" dateTime="2015-07-13T11:37:12" maxSheetId="13" userName="GOEL Anshika" r:id="rId7" minRId="39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6307A3C8-3A96-4404-B020-C510C04A3198}" dateTime="2015-07-13T11:45:29" maxSheetId="13" userName="GOEL Anshika" r:id="rId8" minRId="41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D1C6DC43-E67E-4E71-8A4F-B3D76D329E56}" dateTime="2015-08-10T12:55:25" maxSheetId="13" userName="GOEL Anshika" r:id="rId9" minRId="42" maxRId="44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0D390A88-0EE3-4EF7-8A5E-FE865E074146}" dateTime="2015-08-10T14:34:42" maxSheetId="13" userName="GOEL Anshika" r:id="rId10" minRId="45" maxRId="47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74A790F3-B60A-47E6-A18E-89DB3ADDAE02}" dateTime="2015-08-10T15:28:18" maxSheetId="13" userName="GOEL Anshika" r:id="rId11" minRId="48" maxRId="49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DD193CD7-19F4-419E-814F-BE7C6345B31B}" dateTime="2015-08-11T09:24:07" maxSheetId="13" userName="GOEL Anshika" r:id="rId12" minRId="50" maxRId="52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840087DB-76D5-4801-9863-E8717E092A31}" dateTime="2015-09-28T15:22:22" maxSheetId="13" userName="GOEL Anshika" r:id="rId13" minRId="53" maxRId="60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5728722A-7ADC-460F-BFC4-9853109716FD}" dateTime="2015-10-15T10:59:00" maxSheetId="13" userName="GOEL Anshika" r:id="rId14" minRId="62" maxRId="63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40AA1C79-97B4-4832-ADC0-008DB0745E7C}" dateTime="2015-10-15T12:51:22" maxSheetId="13" userName="GOEL Anshika" r:id="rId15" minRId="64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347F3649-2AEE-4D5B-8A04-53EF8ED0B103}" dateTime="2015-10-15T12:55:49" maxSheetId="13" userName="GOEL Anshika" r:id="rId16" minRId="65" maxRId="66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FCB243B3-965E-4D31-868F-E0710EEB656D}" dateTime="2016-06-10T10:54:19" maxSheetId="13" userName="user194" r:id="rId17" minRId="67" maxRId="77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CAADB1B9-7CC2-4E5B-AADE-D48062B21A55}" dateTime="2016-06-10T10:58:35" maxSheetId="13" userName="user194" r:id="rId18" minRId="79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8B6D3EB9-7DE8-4F04-8502-A800FE9E24E3}" dateTime="2016-06-10T11:52:33" maxSheetId="13" userName="user194" r:id="rId19" minRId="80" maxRId="82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07932285-AD03-473D-BD8F-2E4C5BBA6998}" dateTime="2016-06-24T14:13:12" maxSheetId="13" userName="user194" r:id="rId20" minRId="84" maxRId="85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CC5FDC41-1FD6-4A53-8128-A084E6501C23}" dateTime="2017-02-16T17:35:46" maxSheetId="13" userName="user194" r:id="rId21" minRId="86" maxRId="87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03429AAD-96AD-481F-ACA8-96C8F8F88390}" dateTime="2017-02-17T14:10:18" maxSheetId="13" userName="user194" r:id="rId22" minRId="88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6E2434CA-EED0-4025-B5E0-DF6265CC1E31}" dateTime="2022-02-16T23:57:15" maxSheetId="13" userName="Mohammad Arastu" r:id="rId23" minRId="90" maxRId="98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9428D8D2-077A-4B20-9A02-50CDBA230602}" dateTime="2022-06-08T01:24:32" maxSheetId="13" userName="Mohammad Arastu" r:id="rId24" minRId="100" maxRId="114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FAB75F97-466F-4B4E-8116-48559EF72BAC}" dateTime="2023-04-05T12:08:48" maxSheetId="13" userName="Arastu" r:id="rId25" minRId="115" maxRId="124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173DAC46-19DF-43FD-BD31-C800D81D59B6}" dateTime="2023-06-20T17:36:47" maxSheetId="13" userName="Arastu" r:id="rId26" minRId="126" maxRId="139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D341FFE4-857B-4665-8FB9-A13CD8EA4A2B}" dateTime="2023-09-19T20:36:48" maxSheetId="13" userName="Arastu" r:id="rId27" minRId="140" maxRId="150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FC556A5E-A7DA-4AE1-9CE1-58665E7F1D5D}" dateTime="2023-09-19T20:37:15" maxSheetId="13" userName="Arastu" r:id="rId28" minRId="152" maxRId="153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97CEC104-615B-40C9-9702-E41DCB7689BF}" dateTime="2023-09-19T21:34:04" maxSheetId="13" userName="Arastu" r:id="rId29" minRId="154" maxRId="159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77DDE38E-3B50-4A57-B106-BB001297A7B3}" dateTime="2024-06-23T13:37:52" maxSheetId="13" userName="Mohammad Arastu" r:id="rId30" minRId="160" maxRId="175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DE3D3BAA-DC6B-46CE-8FAE-1285404B0F0C}" dateTime="2024-06-23T17:28:34" maxSheetId="13" userName="Mohammad Arastu" r:id="rId31" minRId="176" maxRId="184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5BAE8608-3EA6-4C10-B156-3F46603FA9B5}" dateTime="2024-07-07T11:43:32" maxSheetId="13" userName="Mohammad Arastu" r:id="rId32" minRId="185" maxRId="187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6E32FBB6-2DCA-405D-88EC-47155CDFCAA9}" dateTime="2024-07-25T17:19:22" maxSheetId="13" userName="Mohammad Arastu" r:id="rId33" minRId="188" maxRId="201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B80B22B6-00B1-4C72-A146-21FAFDA78321}" dateTime="2024-07-29T14:36:46" maxSheetId="13" userName="Mohammad Arastu" r:id="rId34" minRId="202" maxRId="215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A53EEAE3-B8B4-4C68-99E3-D58FF478158A}" dateTime="2024-08-03T15:25:48" maxSheetId="13" userName="Mohammad Arastu" r:id="rId35" minRId="216" maxRId="221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361CB094-8175-474B-81F2-4C7D32C934A6}" dateTime="2024-08-05T14:52:49" maxSheetId="13" userName="Mohammad Arastu" r:id="rId36" minRId="223" maxRId="235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881F743F-3CCC-42A4-B0DA-8DE6496A444B}" dateTime="2024-08-08T16:19:24" maxSheetId="13" userName="Mohammad Arastu" r:id="rId37" minRId="236" maxRId="248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F133D236-11AB-479F-A1A9-FF8A890DAC79}" dateTime="2024-08-10T11:00:20" maxSheetId="13" userName="Mohammad Arastu" r:id="rId38" minRId="249" maxRId="251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03D48B3C-C505-4386-8CC9-7E3959F4CE8D}" dateTime="2024-08-14T14:32:20" maxSheetId="13" userName="Mohammad Arastu" r:id="rId39" minRId="252" maxRId="260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93D615AC-05A0-4B34-9D50-5FA36B43A352}" dateTime="2024-11-19T20:21:45" maxSheetId="13" userName="Hp" r:id="rId40" minRId="261" maxRId="272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  <header guid="{03F4626E-0367-4E65-A2E4-8210089CBCBF}" dateTime="2025-02-04T22:46:34" maxSheetId="13" userName="Hp" r:id="rId41" minRId="274" maxRId="285">
    <sheetIdMap count="12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" sId="1">
    <oc r="E19" t="inlineStr">
      <is>
        <r>
          <t>Kn/m</t>
        </r>
        <r>
          <rPr>
            <vertAlign val="superscript"/>
            <sz val="10"/>
            <rFont val="Arial"/>
            <family val="2"/>
          </rPr>
          <t>2</t>
        </r>
      </is>
    </oc>
    <nc r="E19" t="inlineStr">
      <is>
        <r>
          <t>KN/m</t>
        </r>
        <r>
          <rPr>
            <vertAlign val="superscript"/>
            <sz val="10"/>
            <rFont val="Arial"/>
            <family val="2"/>
          </rPr>
          <t>2</t>
        </r>
      </is>
    </nc>
  </rcc>
  <rcc rId="18" sId="1">
    <oc r="E20" t="inlineStr">
      <is>
        <r>
          <t>Kn/m</t>
        </r>
        <r>
          <rPr>
            <vertAlign val="superscript"/>
            <sz val="10"/>
            <rFont val="Arial"/>
            <family val="2"/>
          </rPr>
          <t>2</t>
        </r>
      </is>
    </oc>
    <nc r="E20" t="inlineStr">
      <is>
        <r>
          <t>KN/m</t>
        </r>
        <r>
          <rPr>
            <vertAlign val="superscript"/>
            <sz val="10"/>
            <rFont val="Arial"/>
            <family val="2"/>
          </rPr>
          <t>2</t>
        </r>
      </is>
    </nc>
  </rcc>
  <rcc rId="19" sId="1">
    <oc r="E21" t="inlineStr">
      <is>
        <r>
          <t>Kn/m</t>
        </r>
        <r>
          <rPr>
            <vertAlign val="superscript"/>
            <sz val="10"/>
            <rFont val="Arial"/>
            <family val="2"/>
          </rPr>
          <t>2</t>
        </r>
      </is>
    </oc>
    <nc r="E21" t="inlineStr">
      <is>
        <r>
          <t>KN/m</t>
        </r>
        <r>
          <rPr>
            <vertAlign val="superscript"/>
            <sz val="10"/>
            <rFont val="Arial"/>
            <family val="2"/>
          </rPr>
          <t>2</t>
        </r>
      </is>
    </nc>
  </rcc>
  <rcc rId="20" sId="1">
    <oc r="E22" t="inlineStr">
      <is>
        <r>
          <t>Kn/m</t>
        </r>
        <r>
          <rPr>
            <vertAlign val="superscript"/>
            <sz val="10"/>
            <rFont val="Arial"/>
            <family val="2"/>
          </rPr>
          <t>2</t>
        </r>
      </is>
    </oc>
    <nc r="E22" t="inlineStr">
      <is>
        <r>
          <t>KN/m</t>
        </r>
        <r>
          <rPr>
            <vertAlign val="superscript"/>
            <sz val="10"/>
            <rFont val="Arial"/>
            <family val="2"/>
          </rPr>
          <t>2</t>
        </r>
      </is>
    </nc>
  </rcc>
  <rcc rId="21" sId="1">
    <oc r="E23" t="inlineStr">
      <is>
        <r>
          <t>Kn/m</t>
        </r>
        <r>
          <rPr>
            <vertAlign val="superscript"/>
            <sz val="10"/>
            <rFont val="Arial"/>
            <family val="2"/>
          </rPr>
          <t>2</t>
        </r>
      </is>
    </oc>
    <nc r="E23" t="inlineStr">
      <is>
        <r>
          <t>KN/m</t>
        </r>
        <r>
          <rPr>
            <vertAlign val="superscript"/>
            <sz val="10"/>
            <rFont val="Arial"/>
            <family val="2"/>
          </rPr>
          <t>2</t>
        </r>
      </is>
    </nc>
  </rcc>
  <rcc rId="22" sId="1">
    <oc r="E24" t="inlineStr">
      <is>
        <r>
          <t>Kn/m</t>
        </r>
        <r>
          <rPr>
            <vertAlign val="superscript"/>
            <sz val="10"/>
            <rFont val="Arial"/>
            <family val="2"/>
          </rPr>
          <t>2</t>
        </r>
      </is>
    </oc>
    <nc r="E24" t="inlineStr">
      <is>
        <r>
          <t>KN/m</t>
        </r>
        <r>
          <rPr>
            <vertAlign val="superscript"/>
            <sz val="10"/>
            <rFont val="Arial"/>
            <family val="2"/>
          </rPr>
          <t>2</t>
        </r>
      </is>
    </nc>
  </rcc>
  <rcc rId="23" sId="1" odxf="1" dxf="1">
    <oc r="E25" t="inlineStr">
      <is>
        <r>
          <t>Kn/m</t>
        </r>
        <r>
          <rPr>
            <vertAlign val="superscript"/>
            <sz val="10"/>
            <rFont val="Arial"/>
            <family val="2"/>
          </rPr>
          <t>2</t>
        </r>
      </is>
    </oc>
    <nc r="E25" t="inlineStr">
      <is>
        <r>
          <t>KN/m</t>
        </r>
        <r>
          <rPr>
            <vertAlign val="superscript"/>
            <sz val="10"/>
            <rFont val="Arial"/>
            <family val="2"/>
          </rPr>
          <t>2</t>
        </r>
      </is>
    </nc>
    <odxf>
      <border outline="0">
        <bottom/>
      </border>
    </odxf>
    <ndxf>
      <border outline="0">
        <bottom style="thin">
          <color indexed="64"/>
        </bottom>
      </border>
    </ndxf>
  </rcc>
  <rcc rId="24" sId="1">
    <oc r="E16" t="inlineStr">
      <is>
        <r>
          <t>Kn/m</t>
        </r>
        <r>
          <rPr>
            <vertAlign val="superscript"/>
            <sz val="10"/>
            <rFont val="Arial"/>
            <family val="2"/>
          </rPr>
          <t>3</t>
        </r>
        <r>
          <rPr>
            <sz val="10"/>
            <rFont val="Arial"/>
            <family val="2"/>
          </rPr>
          <t/>
        </r>
      </is>
    </oc>
    <nc r="E16" t="inlineStr">
      <is>
        <r>
          <t>KN/m</t>
        </r>
        <r>
          <rPr>
            <vertAlign val="superscript"/>
            <sz val="10"/>
            <rFont val="Arial"/>
            <family val="2"/>
          </rPr>
          <t>3</t>
        </r>
        <r>
          <rPr>
            <sz val="10"/>
            <rFont val="Arial"/>
            <family val="2"/>
          </rPr>
          <t/>
        </r>
      </is>
    </nc>
  </rcc>
  <rfmt sheetId="9" sqref="D12:E13">
    <dxf>
      <fill>
        <patternFill patternType="solid">
          <bgColor rgb="FFFFFF00"/>
        </patternFill>
      </fill>
    </dxf>
  </rfmt>
  <rfmt sheetId="9" sqref="F12:F13">
    <dxf>
      <fill>
        <patternFill patternType="none">
          <bgColor auto="1"/>
        </patternFill>
      </fill>
    </dxf>
  </rfmt>
  <rfmt sheetId="1" sqref="D11">
    <dxf>
      <fill>
        <patternFill patternType="solid">
          <bgColor rgb="FFFFFF00"/>
        </patternFill>
      </fill>
    </dxf>
  </rfmt>
  <rfmt sheetId="1" sqref="D14">
    <dxf>
      <fill>
        <patternFill patternType="solid">
          <bgColor rgb="FFFFFF00"/>
        </patternFill>
      </fill>
    </dxf>
  </rfmt>
  <rdn rId="0" localSheetId="1" customView="1" name="Z_8CD552DE_766B_42EA_A3A9_EF771D2E49CF_.wvu.PrintArea" hidden="1" oldHidden="1">
    <formula>'Design of Slab'!$A$1:$J$51</formula>
  </rdn>
  <rcv guid="{8CD552DE-766B-42EA-A3A9-EF771D2E49CF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D7">
      <v>6</v>
    </oc>
    <nc r="D7">
      <v>5</v>
    </nc>
  </rcc>
  <rcc rId="2" sId="1">
    <oc r="D8">
      <v>5</v>
    </oc>
    <nc r="D8">
      <v>4.8</v>
    </nc>
  </rcc>
  <rcc rId="3" sId="1">
    <oc r="D9">
      <v>160</v>
    </oc>
    <nc r="D9">
      <v>150</v>
    </nc>
  </rcc>
  <rcc rId="4" sId="1">
    <oc r="D14">
      <f>'Default values'!E6</f>
    </oc>
    <nc r="D14">
      <v>30</v>
    </nc>
  </rcc>
  <rcc rId="5" sId="1" numFmtId="4">
    <oc r="D20">
      <v>5.98</v>
    </oc>
    <nc r="D20">
      <v>5</v>
    </nc>
  </rcc>
  <rcc rId="6" sId="1">
    <oc r="I15">
      <v>2</v>
    </oc>
    <nc r="I15">
      <v>1</v>
    </nc>
  </rcc>
  <rcc rId="7" sId="1">
    <oc r="I16">
      <v>1</v>
    </oc>
    <nc r="I16">
      <v>2</v>
    </nc>
  </rcc>
  <rcc rId="8" sId="2">
    <oc r="F10">
      <v>35</v>
    </oc>
    <nc r="F10">
      <v>25</v>
    </nc>
  </rcc>
  <rcc rId="9" sId="2">
    <oc r="F6">
      <v>35</v>
    </oc>
    <nc r="F6">
      <v>30</v>
    </nc>
  </rcc>
  <rcc rId="10" sId="1">
    <oc r="C40">
      <v>175</v>
    </oc>
    <nc r="C40">
      <v>200</v>
    </nc>
  </rcc>
  <rcc rId="11" sId="9">
    <oc r="E12">
      <f>IF(fy=415,D12*0.8,D12)</f>
    </oc>
    <nc r="E12">
      <v>23</v>
    </nc>
  </rcc>
  <rcc rId="12" sId="9">
    <oc r="E13">
      <f>IF(fy=415,D13*0.8,D13)</f>
    </oc>
    <nc r="E13">
      <v>23</v>
    </nc>
  </rcc>
  <rcc rId="13" sId="9">
    <oc r="D12">
      <f>IF(ratio&lt;=2,35,20)</f>
    </oc>
    <nc r="D12">
      <v>23</v>
    </nc>
  </rcc>
  <rcc rId="14" sId="9">
    <oc r="D13">
      <f>IF(ratio&lt;=2,40,26)</f>
    </oc>
    <nc r="D13">
      <v>23</v>
    </nc>
  </rcc>
  <rdn rId="0" localSheetId="1" customView="1" name="Z_406DF1FF_9BFC_4168_AE00_7162E8A7C8EF_.wvu.PrintArea" hidden="1" oldHidden="1">
    <formula>'Design of Slab'!$A$3:$J$51</formula>
  </rdn>
  <rcv guid="{406DF1FF-9BFC-4168-AE00-7162E8A7C8EF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" sId="1">
    <oc r="D40">
      <v>150</v>
    </oc>
    <nc r="D40">
      <v>200</v>
    </nc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" sId="1">
    <oc r="D8">
      <v>4.8</v>
    </oc>
    <nc r="D8">
      <v>3.8</v>
    </nc>
  </rcc>
  <rcc rId="27" sId="1">
    <oc r="D7">
      <v>5</v>
    </oc>
    <nc r="D7">
      <v>6.9</v>
    </nc>
  </rcc>
  <rcv guid="{8CD552DE-766B-42EA-A3A9-EF771D2E49CF}" action="delete"/>
  <rdn rId="0" localSheetId="1" customView="1" name="Z_8CD552DE_766B_42EA_A3A9_EF771D2E49CF_.wvu.PrintArea" hidden="1" oldHidden="1">
    <formula>'Design of Slab'!$A$1:$J$51</formula>
    <oldFormula>'Design of Slab'!$A$1:$J$51</oldFormula>
  </rdn>
  <rcv guid="{8CD552DE-766B-42EA-A3A9-EF771D2E49CF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9" sId="1">
    <oc r="F3" t="inlineStr">
      <is>
        <t>S1</t>
      </is>
    </oc>
    <nc r="F3" t="inlineStr">
      <is>
        <t>S1 (CONCOURSE LEVEL)</t>
      </is>
    </nc>
  </rcc>
  <rcc rId="30" sId="1">
    <oc r="F1" t="inlineStr">
      <is>
        <t>CCDD06-P WAY Bahadurgarh</t>
      </is>
    </oc>
    <nc r="F1" t="inlineStr">
      <is>
        <t>FARIDABAD BALLABHGARH CORRIDOR</t>
      </is>
    </nc>
  </rcc>
  <rcc rId="31" sId="1">
    <oc r="D9">
      <v>150</v>
    </oc>
    <nc r="D9">
      <v>175</v>
    </nc>
  </rcc>
  <rcc rId="32" sId="1">
    <oc r="D7">
      <v>6.9</v>
    </oc>
    <nc r="D7">
      <v>11.85</v>
    </nc>
  </rcc>
  <rcc rId="33" sId="1">
    <oc r="D8">
      <v>3.8</v>
    </oc>
    <nc r="D8">
      <v>3.109</v>
    </nc>
  </rcc>
  <rcc rId="34" sId="1">
    <oc r="D14">
      <v>30</v>
    </oc>
    <nc r="D14">
      <v>35</v>
    </nc>
  </rcc>
  <rcc rId="35" sId="1" numFmtId="4">
    <oc r="D20">
      <v>5</v>
    </oc>
    <nc r="D20">
      <v>3.6</v>
    </nc>
  </rcc>
  <rcc rId="36" sId="1" numFmtId="4">
    <oc r="D23">
      <v>0.75</v>
    </oc>
    <nc r="D23">
      <v>5</v>
    </nc>
  </rcc>
  <rcc rId="37" sId="1">
    <oc r="I15">
      <v>1</v>
    </oc>
    <nc r="I15">
      <v>2</v>
    </nc>
  </rcc>
  <rcc rId="38" sId="1">
    <oc r="I16">
      <v>2</v>
    </oc>
    <nc r="I16">
      <v>1</v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9" sId="1">
    <oc r="D8">
      <v>3.109</v>
    </oc>
    <nc r="D8">
      <v>3.12</v>
    </nc>
  </rcc>
  <rcv guid="{8CD552DE-766B-42EA-A3A9-EF771D2E49CF}" action="delete"/>
  <rdn rId="0" localSheetId="1" customView="1" name="Z_8CD552DE_766B_42EA_A3A9_EF771D2E49CF_.wvu.PrintArea" hidden="1" oldHidden="1">
    <formula>'Design of Slab'!$A$1:$J$51</formula>
    <oldFormula>'Design of Slab'!$A$1:$J$51</oldFormula>
  </rdn>
  <rcv guid="{8CD552DE-766B-42EA-A3A9-EF771D2E49CF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1" sId="1">
    <oc r="D7">
      <v>11.85</v>
    </oc>
    <nc r="D7">
      <v>13.045999999999999</v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2" sId="1" numFmtId="4">
    <oc r="D20">
      <v>3.6</v>
    </oc>
    <nc r="D20">
      <f>24*0.15</f>
    </nc>
  </rcc>
  <rcc rId="43" sId="1" numFmtId="4">
    <oc r="D21">
      <v>0</v>
    </oc>
    <nc r="D21">
      <v>3</v>
    </nc>
  </rcc>
  <rcc rId="44" sId="1">
    <oc r="D40">
      <v>200</v>
    </oc>
    <nc r="D40">
      <v>150</v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" sId="1" numFmtId="4">
    <oc r="D23">
      <v>5</v>
    </oc>
    <nc r="D23">
      <v>15</v>
    </nc>
  </rcc>
  <rcc rId="46" sId="1">
    <oc r="C40">
      <v>200</v>
    </oc>
    <nc r="C40">
      <v>100</v>
    </nc>
  </rcc>
  <rcc rId="47" sId="1">
    <oc r="D40">
      <v>150</v>
    </oc>
    <nc r="D40">
      <v>100</v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8" sId="1" numFmtId="4">
    <oc r="D20">
      <f>24*0.15</f>
    </oc>
    <nc r="D20">
      <v>3.6</v>
    </nc>
  </rcc>
  <rcc rId="49" sId="1">
    <oc r="I18">
      <v>2</v>
    </oc>
    <nc r="I18">
      <v>1</v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" sId="1">
    <oc r="D7">
      <v>13.045999999999999</v>
    </oc>
    <nc r="D7">
      <v>11.85</v>
    </nc>
  </rcc>
  <rcc rId="51" sId="1">
    <oc r="D8">
      <v>3.12</v>
    </oc>
    <nc r="D8">
      <v>3.109</v>
    </nc>
  </rcc>
  <rcc rId="52" sId="1">
    <oc r="I18">
      <v>1</v>
    </oc>
    <nc r="I18">
      <v>2</v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3" sId="1">
    <oc r="D8">
      <v>3.109</v>
    </oc>
    <nc r="D8">
      <v>3.5070000000000001</v>
    </nc>
  </rcc>
  <rcc rId="54" sId="1">
    <oc r="D7">
      <v>11.85</v>
    </oc>
    <nc r="D7">
      <v>12.2</v>
    </nc>
  </rcc>
  <rcc rId="55" sId="1">
    <oc r="C36">
      <v>10</v>
    </oc>
    <nc r="C36">
      <v>12</v>
    </nc>
  </rcc>
  <rcc rId="56" sId="1">
    <oc r="D36">
      <v>10</v>
    </oc>
    <nc r="D36">
      <v>12</v>
    </nc>
  </rcc>
  <rcc rId="57" sId="1">
    <oc r="D37">
      <f>FLOOR((PI()/4*D36^2*1000/D35),25)</f>
    </oc>
    <nc r="D37">
      <f>(PI()/4*D36^2*1000/D35)</f>
    </nc>
  </rcc>
  <rcc rId="58" sId="1" odxf="1" dxf="1">
    <oc r="C37">
      <f>FLOOR((PI()/4*C36^2*1000/C35),25)</f>
    </oc>
    <nc r="C37">
      <f>(PI()/4*C36^2*1000/C35)</f>
    </nc>
    <odxf/>
    <ndxf/>
  </rcc>
  <rcc rId="59" sId="1" odxf="1" dxf="1">
    <oc r="E37">
      <f>FLOOR((PI()/4*E36^2*1000/E35),25)</f>
    </oc>
    <nc r="E37">
      <f>(PI()/4*E36^2*1000/E35)</f>
    </nc>
    <odxf/>
    <ndxf/>
  </rcc>
  <rcc rId="60" sId="1" odxf="1" dxf="1">
    <oc r="F37">
      <f>FLOOR((PI()/4*F36^2*1000/F35),25)</f>
    </oc>
    <nc r="F37">
      <f>(PI()/4*F36^2*1000/F35)</f>
    </nc>
    <odxf>
      <border outline="0">
        <right style="medium">
          <color indexed="64"/>
        </right>
      </border>
    </odxf>
    <ndxf>
      <border outline="0">
        <right style="thin">
          <color indexed="64"/>
        </right>
      </border>
    </ndxf>
  </rcc>
  <rfmt sheetId="1" sqref="C37:F37">
    <dxf>
      <numFmt numFmtId="171" formatCode="0.000000"/>
    </dxf>
  </rfmt>
  <rfmt sheetId="1" sqref="C37:F37">
    <dxf>
      <numFmt numFmtId="166" formatCode="0.00000"/>
    </dxf>
  </rfmt>
  <rfmt sheetId="1" sqref="C37:F37">
    <dxf>
      <numFmt numFmtId="167" formatCode="0.0000"/>
    </dxf>
  </rfmt>
  <rfmt sheetId="1" sqref="C37:F37">
    <dxf>
      <numFmt numFmtId="164" formatCode="0.000"/>
    </dxf>
  </rfmt>
  <rfmt sheetId="1" sqref="C37:F37">
    <dxf>
      <numFmt numFmtId="2" formatCode="0.00"/>
    </dxf>
  </rfmt>
  <rfmt sheetId="1" sqref="C37:F37">
    <dxf>
      <numFmt numFmtId="165" formatCode="0.0"/>
    </dxf>
  </rfmt>
  <rfmt sheetId="1" sqref="C37:F37">
    <dxf>
      <numFmt numFmtId="1" formatCode="0"/>
    </dxf>
  </rfmt>
  <rcv guid="{8CD552DE-766B-42EA-A3A9-EF771D2E49CF}" action="delete"/>
  <rdn rId="0" localSheetId="1" customView="1" name="Z_8CD552DE_766B_42EA_A3A9_EF771D2E49CF_.wvu.PrintArea" hidden="1" oldHidden="1">
    <formula>'Design of Slab'!$A$1:$J$51</formula>
    <oldFormula>'Design of Slab'!$A$1:$J$51</oldFormula>
  </rdn>
  <rcv guid="{8CD552DE-766B-42EA-A3A9-EF771D2E49CF}" action="add"/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2" sId="1">
    <oc r="D8">
      <v>3.5070000000000001</v>
    </oc>
    <nc r="D8">
      <f>2.958+0.5*0.145</f>
    </nc>
  </rcc>
  <rcc rId="63" sId="1">
    <oc r="D7">
      <v>12.2</v>
    </oc>
    <nc r="D7">
      <v>13.4</v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4" sId="1">
    <oc r="D11">
      <v>25</v>
    </oc>
    <nc r="D11">
      <v>32</v>
    </nc>
  </rcc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" sId="2">
    <oc r="F6">
      <v>30</v>
    </oc>
    <nc r="F6">
      <v>35</v>
    </nc>
  </rcc>
  <rcc rId="66" sId="2">
    <oc r="F10">
      <v>25</v>
    </oc>
    <nc r="F10">
      <v>35</v>
    </nc>
  </rcc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" sId="1">
    <oc r="D8">
      <f>2.958+0.5*0.145</f>
    </oc>
    <nc r="D8">
      <f>3.026+0.5*0.22</f>
    </nc>
  </rcc>
  <rcc rId="68" sId="1">
    <oc r="D7">
      <v>13.4</v>
    </oc>
    <nc r="D7">
      <f>5.88+0.5*0.22</f>
    </nc>
  </rcc>
  <rcc rId="69" sId="1">
    <oc r="D9">
      <v>175</v>
    </oc>
    <nc r="D9">
      <v>220</v>
    </nc>
  </rcc>
  <rcc rId="70" sId="1">
    <oc r="D14">
      <v>35</v>
    </oc>
    <nc r="D14">
      <v>50</v>
    </nc>
  </rcc>
  <rcc rId="71" sId="1">
    <oc r="I17">
      <v>1</v>
    </oc>
    <nc r="I17">
      <v>2</v>
    </nc>
  </rcc>
  <rcc rId="72" sId="1" numFmtId="4">
    <oc r="D21">
      <v>3</v>
    </oc>
    <nc r="D21">
      <v>2</v>
    </nc>
  </rcc>
  <rcc rId="73" sId="1" numFmtId="4">
    <oc r="D23">
      <v>15</v>
    </oc>
    <nc r="D23">
      <v>5</v>
    </nc>
  </rcc>
  <rcc rId="74" sId="1">
    <oc r="C36">
      <v>12</v>
    </oc>
    <nc r="C36">
      <v>10</v>
    </nc>
  </rcc>
  <rcc rId="75" sId="1">
    <oc r="C40">
      <v>100</v>
    </oc>
    <nc r="C40">
      <v>200</v>
    </nc>
  </rcc>
  <rcc rId="76" sId="1">
    <oc r="D36">
      <v>12</v>
    </oc>
    <nc r="D36">
      <v>10</v>
    </nc>
  </rcc>
  <rcc rId="77" sId="1">
    <oc r="D40">
      <v>100</v>
    </oc>
    <nc r="D40">
      <v>200</v>
    </nc>
  </rcc>
  <rdn rId="0" localSheetId="1" customView="1" name="Z_4C8449F4_FC56_4876_869E_F955C2C5C3AD_.wvu.PrintArea" hidden="1" oldHidden="1">
    <formula>'Design of Slab'!$A$1:$J$51</formula>
  </rdn>
  <rcv guid="{4C8449F4-FC56-4876-869E-F955C2C5C3AD}" action="add"/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" sId="1">
    <oc r="D11">
      <v>32</v>
    </oc>
    <nc r="D11">
      <v>25</v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0" sId="1">
    <oc r="F1" t="inlineStr">
      <is>
        <t>FARIDABAD BALLABHGARH CORRIDOR</t>
      </is>
    </oc>
    <nc r="F1" t="inlineStr">
      <is>
        <t>HOSA ROAD STATION (BANGALORE)</t>
      </is>
    </nc>
  </rcc>
  <rcc rId="81" sId="1">
    <oc r="D7">
      <f>5.88+0.5*0.22</f>
    </oc>
    <nc r="D7">
      <f>5.88+0.5*0.19</f>
    </nc>
  </rcc>
  <rcc rId="82" sId="1">
    <oc r="D8">
      <f>3.026+0.5*0.22</f>
    </oc>
    <nc r="D8">
      <f>3.026+0.5*0.19</f>
    </nc>
  </rcc>
  <rcv guid="{4C8449F4-FC56-4876-869E-F955C2C5C3AD}" action="delete"/>
  <rdn rId="0" localSheetId="1" customView="1" name="Z_4C8449F4_FC56_4876_869E_F955C2C5C3AD_.wvu.PrintArea" hidden="1" oldHidden="1">
    <formula>'Design of Slab'!$A$1:$J$51</formula>
    <oldFormula>'Design of Slab'!$A$1:$J$51</oldFormula>
  </rdn>
  <rcv guid="{4C8449F4-FC56-4876-869E-F955C2C5C3AD}" action="add"/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" sId="2">
    <oc r="F6">
      <v>35</v>
    </oc>
    <nc r="F6">
      <v>50</v>
    </nc>
  </rcc>
  <rcc rId="85" sId="2">
    <oc r="F10">
      <v>35</v>
    </oc>
    <nc r="F10">
      <v>25</v>
    </nc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" sId="1">
    <oc r="D8">
      <f>3.026+0.5*0.19</f>
    </oc>
    <nc r="D8">
      <f>2.4+0.5*0.19</f>
    </nc>
  </rcc>
  <rcc rId="87" sId="1">
    <oc r="D7">
      <f>5.88+0.5*0.19</f>
    </oc>
    <nc r="D7">
      <f>5.8+0.5*0.19</f>
    </nc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" sId="1">
    <oc r="F1" t="inlineStr">
      <is>
        <t>HOSA ROAD STATION (BANGALORE)</t>
      </is>
    </oc>
    <nc r="F1" t="inlineStr">
      <is>
        <t>HSR LAYOUT STATION (BANGALORE)</t>
      </is>
    </nc>
  </rcc>
  <rcv guid="{4C8449F4-FC56-4876-869E-F955C2C5C3AD}" action="delete"/>
  <rdn rId="0" localSheetId="1" customView="1" name="Z_4C8449F4_FC56_4876_869E_F955C2C5C3AD_.wvu.PrintArea" hidden="1" oldHidden="1">
    <formula>'Design of Slab'!$A$1:$J$51</formula>
    <oldFormula>'Design of Slab'!$A$1:$J$51</oldFormula>
  </rdn>
  <rcv guid="{4C8449F4-FC56-4876-869E-F955C2C5C3AD}" action="add"/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0" sId="1">
    <oc r="D7">
      <f>5.8+0.5*0.19</f>
    </oc>
    <nc r="D7">
      <v>4.7</v>
    </nc>
  </rcc>
  <rcc rId="91" sId="1">
    <oc r="D8">
      <f>2.4+0.5*0.19</f>
    </oc>
    <nc r="D8">
      <v>3.8</v>
    </nc>
  </rcc>
  <rcc rId="92" sId="1">
    <oc r="D9">
      <v>220</v>
    </oc>
    <nc r="D9">
      <v>125</v>
    </nc>
  </rcc>
  <rcc rId="93" sId="1">
    <oc r="I15">
      <v>2</v>
    </oc>
    <nc r="I15">
      <v>1</v>
    </nc>
  </rcc>
  <rcc rId="94" sId="1">
    <oc r="I18">
      <v>2</v>
    </oc>
    <nc r="I18">
      <v>1</v>
    </nc>
  </rcc>
  <rcc rId="95" sId="1">
    <oc r="D14">
      <v>50</v>
    </oc>
    <nc r="D14">
      <v>35</v>
    </nc>
  </rcc>
  <rcc rId="96" sId="1" numFmtId="4">
    <oc r="D23">
      <v>5</v>
    </oc>
    <nc r="D23">
      <v>3</v>
    </nc>
  </rcc>
  <rcc rId="97" sId="1" numFmtId="4">
    <oc r="D20">
      <v>3.6</v>
    </oc>
    <nc r="D20">
      <v>1.5</v>
    </nc>
  </rcc>
  <rcc rId="98" sId="1" numFmtId="4">
    <oc r="D21">
      <v>2</v>
    </oc>
    <nc r="D21">
      <v>1</v>
    </nc>
  </rcc>
  <rdn rId="0" localSheetId="1" customView="1" name="Z_3E488D02_432F_45E5_90FE_5CD6FBA7363A_.wvu.PrintArea" hidden="1" oldHidden="1">
    <formula>'Design of Slab'!$A$1:$J$51</formula>
  </rdn>
  <rcv guid="{3E488D02-432F-45E5-90FE-5CD6FBA7363A}" action="add"/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0" sId="1">
    <oc r="D7">
      <v>4.7</v>
    </oc>
    <nc r="D7">
      <v>4</v>
    </nc>
  </rcc>
  <rcc rId="101" sId="1">
    <oc r="D8">
      <v>3.8</v>
    </oc>
    <nc r="D8">
      <v>3.5</v>
    </nc>
  </rcc>
  <rcc rId="102" sId="1">
    <oc r="D9">
      <v>125</v>
    </oc>
    <nc r="D9">
      <v>350</v>
    </nc>
  </rcc>
  <rcc rId="103" sId="1">
    <oc r="I17">
      <v>2</v>
    </oc>
    <nc r="I17">
      <v>1</v>
    </nc>
  </rcc>
  <rcc rId="104" sId="1" numFmtId="4">
    <oc r="D20">
      <v>1.5</v>
    </oc>
    <nc r="D20">
      <v>3</v>
    </nc>
  </rcc>
  <rcc rId="105" sId="1" numFmtId="4">
    <oc r="D21">
      <v>1</v>
    </oc>
    <nc r="D21">
      <v>0</v>
    </nc>
  </rcc>
  <rcc rId="106" sId="1">
    <oc r="C36">
      <v>10</v>
    </oc>
    <nc r="C36">
      <v>12</v>
    </nc>
  </rcc>
  <rcc rId="107" sId="1">
    <oc r="D36">
      <v>10</v>
    </oc>
    <nc r="D36">
      <v>12</v>
    </nc>
  </rcc>
  <rcc rId="108" sId="1">
    <oc r="E36">
      <v>10</v>
    </oc>
    <nc r="E36">
      <v>12</v>
    </nc>
  </rcc>
  <rcc rId="109" sId="1">
    <oc r="F36">
      <v>10</v>
    </oc>
    <nc r="F36">
      <v>12</v>
    </nc>
  </rcc>
  <rcc rId="110" sId="1">
    <oc r="C40">
      <v>200</v>
    </oc>
    <nc r="C40">
      <v>150</v>
    </nc>
  </rcc>
  <rcc rId="111" sId="1">
    <oc r="E40">
      <v>200</v>
    </oc>
    <nc r="E40">
      <v>150</v>
    </nc>
  </rcc>
  <rfmt sheetId="1" sqref="F40" start="0" length="0">
    <dxf>
      <border outline="0">
        <right style="thin">
          <color indexed="64"/>
        </right>
      </border>
    </dxf>
  </rfmt>
  <rcc rId="112" sId="1">
    <oc r="D40">
      <v>200</v>
    </oc>
    <nc r="D40">
      <v>100</v>
    </nc>
  </rcc>
  <rcc rId="113" sId="1">
    <oc r="F40">
      <v>200</v>
    </oc>
    <nc r="F40">
      <v>100</v>
    </nc>
  </rcc>
  <rcc rId="114" sId="1" numFmtId="4">
    <oc r="D23">
      <v>3</v>
    </oc>
    <nc r="D23">
      <v>65</v>
    </nc>
  </rcc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5" sId="1">
    <oc r="D7">
      <v>4</v>
    </oc>
    <nc r="D7">
      <v>6.6</v>
    </nc>
  </rcc>
  <rcc rId="116" sId="1">
    <oc r="D8">
      <v>3.5</v>
    </oc>
    <nc r="D8">
      <v>6.6</v>
    </nc>
  </rcc>
  <rcc rId="117" sId="1">
    <oc r="D9">
      <v>350</v>
    </oc>
    <nc r="D9">
      <v>200</v>
    </nc>
  </rcc>
  <rcc rId="118" sId="1">
    <oc r="D14">
      <v>35</v>
    </oc>
    <nc r="D14">
      <v>25</v>
    </nc>
  </rcc>
  <rcc rId="119" sId="1" numFmtId="4">
    <oc r="D23">
      <v>65</v>
    </oc>
    <nc r="D23">
      <v>5</v>
    </nc>
  </rcc>
  <rcc rId="120" sId="1">
    <oc r="C36">
      <v>12</v>
    </oc>
    <nc r="C36">
      <v>10</v>
    </nc>
  </rcc>
  <rcc rId="121" sId="1">
    <oc r="D36">
      <v>12</v>
    </oc>
    <nc r="D36">
      <v>10</v>
    </nc>
  </rcc>
  <rcc rId="122" sId="1">
    <oc r="E36">
      <v>12</v>
    </oc>
    <nc r="E36">
      <v>10</v>
    </nc>
  </rcc>
  <rcc rId="123" sId="1">
    <oc r="F36">
      <v>12</v>
    </oc>
    <nc r="F36">
      <v>10</v>
    </nc>
  </rcc>
  <rcc rId="124" sId="1">
    <oc r="I18">
      <v>1</v>
    </oc>
    <nc r="I18">
      <v>2</v>
    </nc>
  </rcc>
  <rdn rId="0" localSheetId="1" customView="1" name="Z_9CE232CD_A92E_403C_887B_19AF1B853CD5_.wvu.PrintArea" hidden="1" oldHidden="1">
    <formula>'Design of Slab'!$A$1:$J$51</formula>
  </rdn>
  <rcv guid="{9CE232CD-A92E-403C-887B-19AF1B853CD5}" action="add"/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" sId="1">
    <oc r="D7">
      <v>6.6</v>
    </oc>
    <nc r="D7">
      <v>12</v>
    </nc>
  </rcc>
  <rcc rId="127" sId="1">
    <oc r="D8">
      <v>6.6</v>
    </oc>
    <nc r="D8">
      <v>3.3</v>
    </nc>
  </rcc>
  <rcc rId="128" sId="1">
    <oc r="D11">
      <v>25</v>
    </oc>
    <nc r="D11">
      <v>20</v>
    </nc>
  </rcc>
  <rcc rId="129" sId="1">
    <oc r="D14">
      <v>25</v>
    </oc>
    <nc r="D14">
      <v>30</v>
    </nc>
  </rcc>
  <rcc rId="130" sId="1" numFmtId="4">
    <oc r="D20">
      <v>3</v>
    </oc>
    <nc r="D20">
      <v>1.2</v>
    </nc>
  </rcc>
  <rcc rId="131" sId="1" numFmtId="4">
    <oc r="D23">
      <v>5</v>
    </oc>
    <nc r="D23">
      <v>4</v>
    </nc>
  </rcc>
  <rcc rId="132" sId="1" numFmtId="4">
    <oc r="D21">
      <v>0</v>
    </oc>
    <nc r="D21">
      <v>1</v>
    </nc>
  </rcc>
  <rcc rId="133" sId="1">
    <oc r="C36">
      <v>10</v>
    </oc>
    <nc r="C36">
      <v>12</v>
    </nc>
  </rcc>
  <rcc rId="134" sId="1">
    <oc r="D36">
      <v>10</v>
    </oc>
    <nc r="D36">
      <v>12</v>
    </nc>
  </rcc>
  <rcc rId="135" sId="1">
    <oc r="E36">
      <v>10</v>
    </oc>
    <nc r="E36">
      <v>12</v>
    </nc>
  </rcc>
  <rcc rId="136" sId="1">
    <oc r="F36">
      <v>10</v>
    </oc>
    <nc r="F36">
      <v>12</v>
    </nc>
  </rcc>
  <rcc rId="137" sId="1">
    <oc r="D9">
      <v>200</v>
    </oc>
    <nc r="D9">
      <v>100</v>
    </nc>
  </rcc>
  <rcc rId="138" sId="1">
    <oc r="I17">
      <v>1</v>
    </oc>
    <nc r="I17">
      <v>2</v>
    </nc>
  </rcc>
  <rcc rId="139" sId="1">
    <oc r="D40">
      <v>100</v>
    </oc>
    <nc r="D40">
      <v>150</v>
    </nc>
  </rcc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0" sId="1">
    <oc r="D11">
      <v>20</v>
    </oc>
    <nc r="D11">
      <v>25</v>
    </nc>
  </rcc>
  <rcc rId="141" sId="1">
    <oc r="D14">
      <v>30</v>
    </oc>
    <nc r="D14">
      <v>35</v>
    </nc>
  </rcc>
  <rcc rId="142" sId="1">
    <oc r="I17">
      <v>2</v>
    </oc>
    <nc r="I17">
      <v>1</v>
    </nc>
  </rcc>
  <rcc rId="143" sId="1">
    <oc r="I18">
      <v>2</v>
    </oc>
    <nc r="I18">
      <v>1</v>
    </nc>
  </rcc>
  <rcc rId="144" sId="1" numFmtId="4">
    <oc r="D20">
      <v>1.2</v>
    </oc>
    <nc r="D20">
      <v>3</v>
    </nc>
  </rcc>
  <rcc rId="145" sId="1">
    <oc r="D40">
      <v>150</v>
    </oc>
    <nc r="D40">
      <v>200</v>
    </nc>
  </rcc>
  <rcc rId="146" sId="1">
    <oc r="F40">
      <v>100</v>
    </oc>
    <nc r="F40">
      <v>200</v>
    </nc>
  </rcc>
  <rcc rId="147" sId="1">
    <oc r="D7">
      <v>12</v>
    </oc>
    <nc r="D7">
      <v>3.8</v>
    </nc>
  </rcc>
  <rcc rId="148" sId="1">
    <oc r="D8">
      <v>3.3</v>
    </oc>
    <nc r="D8">
      <v>3.5</v>
    </nc>
  </rcc>
  <rcc rId="149" sId="1" numFmtId="4">
    <oc r="D23">
      <v>4</v>
    </oc>
    <nc r="D23">
      <v>65</v>
    </nc>
  </rcc>
  <rcc rId="150" sId="1">
    <oc r="D9">
      <v>100</v>
    </oc>
    <nc r="D9">
      <v>450</v>
    </nc>
  </rcc>
  <rcv guid="{9CE232CD-A92E-403C-887B-19AF1B853CD5}" action="delete"/>
  <rdn rId="0" localSheetId="1" customView="1" name="Z_9CE232CD_A92E_403C_887B_19AF1B853CD5_.wvu.PrintArea" hidden="1" oldHidden="1">
    <formula>'Design of Slab'!$A$1:$J$51</formula>
    <oldFormula>'Design of Slab'!$A$1:$J$51</oldFormula>
  </rdn>
  <rcv guid="{9CE232CD-A92E-403C-887B-19AF1B853CD5}" action="add"/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2" sId="1">
    <oc r="D9">
      <v>450</v>
    </oc>
    <nc r="D9">
      <v>300</v>
    </nc>
  </rcc>
  <rcc rId="153" sId="1" numFmtId="4">
    <oc r="D23">
      <v>65</v>
    </oc>
    <nc r="D23">
      <v>50</v>
    </nc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4" sId="1" numFmtId="4">
    <oc r="D23">
      <v>50</v>
    </oc>
    <nc r="D23">
      <v>20</v>
    </nc>
  </rcc>
  <rcc rId="155" sId="1">
    <oc r="D36">
      <v>12</v>
    </oc>
    <nc r="D36">
      <v>10</v>
    </nc>
  </rcc>
  <rcc rId="156" sId="1">
    <oc r="C36">
      <v>12</v>
    </oc>
    <nc r="C36">
      <v>10</v>
    </nc>
  </rcc>
  <rcc rId="157" sId="1">
    <oc r="E36">
      <v>12</v>
    </oc>
    <nc r="E36">
      <v>10</v>
    </nc>
  </rcc>
  <rcc rId="158" sId="1">
    <oc r="F36">
      <v>12</v>
    </oc>
    <nc r="F36">
      <v>10</v>
    </nc>
  </rcc>
  <rcc rId="159" sId="1">
    <oc r="D9">
      <v>300</v>
    </oc>
    <nc r="D9">
      <v>150</v>
    </nc>
  </rcc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0" sId="1">
    <oc r="D7">
      <v>3.8</v>
    </oc>
    <nc r="D7">
      <v>3.9</v>
    </nc>
  </rcc>
  <rcc rId="161" sId="1">
    <oc r="D8">
      <v>3.5</v>
    </oc>
    <nc r="D8">
      <v>3</v>
    </nc>
  </rcc>
  <rcc rId="162" sId="1">
    <oc r="D11">
      <v>25</v>
    </oc>
    <nc r="D11">
      <v>45</v>
    </nc>
  </rcc>
  <rcc rId="163" sId="1">
    <oc r="D14">
      <v>35</v>
    </oc>
    <nc r="D14">
      <v>40</v>
    </nc>
  </rcc>
  <rcc rId="164" sId="1" numFmtId="4">
    <oc r="D23">
      <v>20</v>
    </oc>
    <nc r="D23">
      <v>80</v>
    </nc>
  </rcc>
  <rcc rId="165" sId="1">
    <oc r="C36">
      <v>10</v>
    </oc>
    <nc r="C36">
      <v>16</v>
    </nc>
  </rcc>
  <rcc rId="166" sId="1">
    <oc r="D36">
      <v>10</v>
    </oc>
    <nc r="D36">
      <v>16</v>
    </nc>
  </rcc>
  <rcc rId="167" sId="1">
    <oc r="E36">
      <v>10</v>
    </oc>
    <nc r="E36">
      <v>16</v>
    </nc>
  </rcc>
  <rcc rId="168" sId="1">
    <oc r="F36">
      <v>10</v>
    </oc>
    <nc r="F36">
      <v>16</v>
    </nc>
  </rcc>
  <rcc rId="169" sId="1">
    <oc r="D9">
      <v>150</v>
    </oc>
    <nc r="D9">
      <v>300</v>
    </nc>
  </rcc>
  <rcc rId="170" sId="1">
    <oc r="D40">
      <v>200</v>
    </oc>
    <nc r="D40">
      <v>150</v>
    </nc>
  </rcc>
  <rcc rId="171" sId="1">
    <oc r="F40">
      <v>200</v>
    </oc>
    <nc r="F40">
      <v>150</v>
    </nc>
  </rcc>
  <rcc rId="172" sId="1">
    <oc r="I15">
      <v>1</v>
    </oc>
    <nc r="I15">
      <v>2</v>
    </nc>
  </rcc>
  <rcc rId="173" sId="1">
    <oc r="I16">
      <v>1</v>
    </oc>
    <nc r="I16">
      <v>2</v>
    </nc>
  </rcc>
  <rcc rId="174" sId="1">
    <oc r="I17">
      <v>1</v>
    </oc>
    <nc r="I17">
      <v>2</v>
    </nc>
  </rcc>
  <rcc rId="175" sId="1">
    <oc r="I18">
      <v>1</v>
    </oc>
    <nc r="I18">
      <v>2</v>
    </nc>
  </rcc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" sId="1">
    <oc r="D11">
      <v>45</v>
    </oc>
    <nc r="D11">
      <v>30</v>
    </nc>
  </rcc>
  <rcc rId="177" sId="1" numFmtId="4">
    <oc r="D23">
      <v>80</v>
    </oc>
    <nc r="D23">
      <v>5</v>
    </nc>
  </rcc>
  <rcc rId="178" sId="1">
    <oc r="C36">
      <v>16</v>
    </oc>
    <nc r="C36">
      <v>10</v>
    </nc>
  </rcc>
  <rcc rId="179" sId="1">
    <oc r="D36">
      <v>16</v>
    </oc>
    <nc r="D36">
      <v>10</v>
    </nc>
  </rcc>
  <rcc rId="180" sId="1">
    <oc r="E36">
      <v>16</v>
    </oc>
    <nc r="E36">
      <v>10</v>
    </nc>
  </rcc>
  <rcc rId="181" sId="1">
    <oc r="F36">
      <v>16</v>
    </oc>
    <nc r="F36">
      <v>10</v>
    </nc>
  </rcc>
  <rcc rId="182" sId="1">
    <oc r="D7">
      <v>3.9</v>
    </oc>
    <nc r="D7">
      <v>6</v>
    </nc>
  </rcc>
  <rcc rId="183" sId="1">
    <oc r="D9">
      <v>300</v>
    </oc>
    <nc r="D9">
      <v>200</v>
    </nc>
  </rcc>
  <rcc rId="184" sId="1">
    <oc r="D8">
      <v>3</v>
    </oc>
    <nc r="D8">
      <v>4</v>
    </nc>
  </rcc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" sId="1">
    <oc r="D7">
      <v>6</v>
    </oc>
    <nc r="D7">
      <v>4.5</v>
    </nc>
  </rcc>
  <rcc rId="186" sId="1" numFmtId="4">
    <oc r="D23">
      <v>5</v>
    </oc>
    <nc r="D23">
      <v>15</v>
    </nc>
  </rcc>
  <rcc rId="187" sId="1">
    <oc r="C40">
      <v>150</v>
    </oc>
    <nc r="C40">
      <v>125</v>
    </nc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8" sId="1">
    <oc r="D8">
      <v>4</v>
    </oc>
    <nc r="D8">
      <v>4.2</v>
    </nc>
  </rcc>
  <rcc rId="189" sId="1">
    <oc r="D9">
      <v>200</v>
    </oc>
    <nc r="D9">
      <v>300</v>
    </nc>
  </rcc>
  <rcc rId="190" sId="1">
    <oc r="D14">
      <v>40</v>
    </oc>
    <nc r="D14">
      <v>35</v>
    </nc>
  </rcc>
  <rcc rId="191" sId="1" numFmtId="4">
    <oc r="D20">
      <v>3</v>
    </oc>
    <nc r="D20">
      <v>15</v>
    </nc>
  </rcc>
  <rcc rId="192" sId="1" numFmtId="4">
    <oc r="D23">
      <v>15</v>
    </oc>
    <nc r="D23">
      <v>42</v>
    </nc>
  </rcc>
  <rcc rId="193" sId="1" numFmtId="4">
    <oc r="D21">
      <v>1</v>
    </oc>
    <nc r="D21">
      <v>0</v>
    </nc>
  </rcc>
  <rcc rId="194" sId="1">
    <oc r="I15">
      <v>2</v>
    </oc>
    <nc r="I15">
      <v>1</v>
    </nc>
  </rcc>
  <rcc rId="195" sId="1">
    <oc r="I17">
      <v>2</v>
    </oc>
    <nc r="I17">
      <v>1</v>
    </nc>
  </rcc>
  <rcc rId="196" sId="1">
    <oc r="C36">
      <v>10</v>
    </oc>
    <nc r="C36">
      <v>12</v>
    </nc>
  </rcc>
  <rcc rId="197" sId="1">
    <oc r="D36">
      <v>10</v>
    </oc>
    <nc r="D36">
      <v>12</v>
    </nc>
  </rcc>
  <rcc rId="198" sId="1">
    <oc r="E36">
      <v>10</v>
    </oc>
    <nc r="E36">
      <v>12</v>
    </nc>
  </rcc>
  <rcc rId="199" sId="1">
    <oc r="F36">
      <v>10</v>
    </oc>
    <nc r="F36">
      <v>12</v>
    </nc>
  </rcc>
  <rcc rId="200" sId="1">
    <oc r="C40">
      <v>125</v>
    </oc>
    <nc r="C40">
      <v>150</v>
    </nc>
  </rcc>
  <rcc rId="201" sId="1">
    <oc r="D40">
      <v>150</v>
    </oc>
    <nc r="D40">
      <v>100</v>
    </nc>
  </rcc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" sId="1">
    <oc r="D9">
      <v>300</v>
    </oc>
    <nc r="D9">
      <v>200</v>
    </nc>
  </rcc>
  <rcc rId="203" sId="1">
    <oc r="C36">
      <v>12</v>
    </oc>
    <nc r="C36">
      <v>10</v>
    </nc>
  </rcc>
  <rcc rId="204" sId="1">
    <oc r="D36">
      <v>12</v>
    </oc>
    <nc r="D36">
      <v>10</v>
    </nc>
  </rcc>
  <rcc rId="205" sId="1">
    <oc r="E36">
      <v>12</v>
    </oc>
    <nc r="E36">
      <v>10</v>
    </nc>
  </rcc>
  <rcc rId="206" sId="1">
    <oc r="F36">
      <v>12</v>
    </oc>
    <nc r="F36">
      <v>10</v>
    </nc>
  </rcc>
  <rcc rId="207" sId="1">
    <oc r="I18">
      <v>2</v>
    </oc>
    <nc r="I18">
      <v>1</v>
    </nc>
  </rcc>
  <rcc rId="208" sId="1" numFmtId="4">
    <oc r="D23">
      <v>42</v>
    </oc>
    <nc r="D23">
      <v>32</v>
    </nc>
  </rcc>
  <rcc rId="209" sId="1">
    <oc r="F1" t="inlineStr">
      <is>
        <t>HSR LAYOUT STATION (BANGALORE)</t>
      </is>
    </oc>
    <nc r="F1"/>
  </rcc>
  <rcc rId="210" sId="1">
    <oc r="C40">
      <v>150</v>
    </oc>
    <nc r="C40">
      <v>100</v>
    </nc>
  </rcc>
  <rcc rId="211" sId="1">
    <oc r="E40">
      <v>150</v>
    </oc>
    <nc r="E40">
      <v>100</v>
    </nc>
  </rcc>
  <rcc rId="212" sId="1">
    <oc r="F40">
      <v>150</v>
    </oc>
    <nc r="F40">
      <v>100</v>
    </nc>
  </rcc>
  <rcc rId="213" sId="1">
    <oc r="D7">
      <v>4.5</v>
    </oc>
    <nc r="D7">
      <v>4.4000000000000004</v>
    </nc>
  </rcc>
  <rcc rId="214" sId="1">
    <oc r="D8">
      <v>4.2</v>
    </oc>
    <nc r="D8">
      <v>2.9</v>
    </nc>
  </rcc>
  <rcc rId="215" sId="1">
    <oc r="I16">
      <v>2</v>
    </oc>
    <nc r="I16">
      <v>1</v>
    </nc>
  </rcc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6" sId="1">
    <oc r="D7">
      <v>4.4000000000000004</v>
    </oc>
    <nc r="D7">
      <v>4.5</v>
    </nc>
  </rcc>
  <rcc rId="217" sId="1" numFmtId="4">
    <oc r="D23">
      <v>32</v>
    </oc>
    <nc r="D23">
      <v>25</v>
    </nc>
  </rcc>
  <rcc rId="218" sId="1">
    <oc r="C40">
      <v>100</v>
    </oc>
    <nc r="C40">
      <v>150</v>
    </nc>
  </rcc>
  <rcc rId="219" sId="1">
    <oc r="E40">
      <v>100</v>
    </oc>
    <nc r="E40">
      <v>150</v>
    </nc>
  </rcc>
  <rcc rId="220" sId="1">
    <oc r="I17">
      <v>1</v>
    </oc>
    <nc r="I17">
      <v>2</v>
    </nc>
  </rcc>
  <rcc rId="221" sId="1">
    <oc r="D8">
      <v>2.9</v>
    </oc>
    <nc r="D8">
      <v>4.2</v>
    </nc>
  </rcc>
  <rcv guid="{3E488D02-432F-45E5-90FE-5CD6FBA7363A}" action="delete"/>
  <rdn rId="0" localSheetId="1" customView="1" name="Z_3E488D02_432F_45E5_90FE_5CD6FBA7363A_.wvu.PrintArea" hidden="1" oldHidden="1">
    <formula>'Design of Slab'!$A$1:$J$51</formula>
    <oldFormula>'Design of Slab'!$A$1:$J$51</oldFormula>
  </rdn>
  <rcv guid="{3E488D02-432F-45E5-90FE-5CD6FBA7363A}" action="add"/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3" sId="1">
    <oc r="D7">
      <v>4.5</v>
    </oc>
    <nc r="D7">
      <v>5</v>
    </nc>
  </rcc>
  <rcc rId="224" sId="1">
    <oc r="D8">
      <v>4.2</v>
    </oc>
    <nc r="D8">
      <v>3.75</v>
    </nc>
  </rcc>
  <rcc rId="225" sId="1">
    <oc r="D9">
      <v>200</v>
    </oc>
    <nc r="D9">
      <v>300</v>
    </nc>
  </rcc>
  <rcc rId="226" sId="1">
    <oc r="D11">
      <v>30</v>
    </oc>
    <nc r="D11">
      <v>40</v>
    </nc>
  </rcc>
  <rcc rId="227" sId="1" numFmtId="4">
    <oc r="D20">
      <v>15</v>
    </oc>
    <nc r="D20">
      <v>2.5</v>
    </nc>
  </rcc>
  <rcc rId="228" sId="1">
    <oc r="C36">
      <v>10</v>
    </oc>
    <nc r="C36">
      <v>12</v>
    </nc>
  </rcc>
  <rcc rId="229" sId="1">
    <oc r="D36">
      <v>10</v>
    </oc>
    <nc r="D36">
      <v>12</v>
    </nc>
  </rcc>
  <rcc rId="230" sId="1">
    <oc r="E36">
      <v>10</v>
    </oc>
    <nc r="E36">
      <v>12</v>
    </nc>
  </rcc>
  <rcc rId="231" sId="1">
    <oc r="F36">
      <v>10</v>
    </oc>
    <nc r="F36">
      <v>12</v>
    </nc>
  </rcc>
  <rcc rId="232" sId="1">
    <oc r="F40">
      <v>100</v>
    </oc>
    <nc r="F40">
      <v>150</v>
    </nc>
  </rcc>
  <rcc rId="233" sId="1">
    <oc r="D40">
      <v>100</v>
    </oc>
    <nc r="D40">
      <v>125</v>
    </nc>
  </rcc>
  <rcc rId="234" sId="1">
    <oc r="I15">
      <v>1</v>
    </oc>
    <nc r="I15">
      <v>2</v>
    </nc>
  </rcc>
  <rcc rId="235" sId="1" numFmtId="4">
    <oc r="D23">
      <v>25</v>
    </oc>
    <nc r="D23">
      <v>30</v>
    </nc>
  </rcc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6" sId="1">
    <oc r="D7">
      <v>5</v>
    </oc>
    <nc r="D7">
      <v>6.4</v>
    </nc>
  </rcc>
  <rcc rId="237" sId="1">
    <oc r="D8">
      <v>3.75</v>
    </oc>
    <nc r="D8">
      <v>6</v>
    </nc>
  </rcc>
  <rcc rId="238" sId="1">
    <oc r="D9">
      <v>300</v>
    </oc>
    <nc r="D9">
      <v>600</v>
    </nc>
  </rcc>
  <rcc rId="239" sId="1">
    <oc r="D11">
      <v>40</v>
    </oc>
    <nc r="D11">
      <v>75</v>
    </nc>
  </rcc>
  <rcc rId="240" sId="1">
    <oc r="D14">
      <v>35</v>
    </oc>
    <nc r="D14">
      <v>40</v>
    </nc>
  </rcc>
  <rcc rId="241" sId="1" numFmtId="4">
    <oc r="D20">
      <v>2.5</v>
    </oc>
    <nc r="D20">
      <v>4</v>
    </nc>
  </rcc>
  <rcc rId="242" sId="1" numFmtId="4">
    <oc r="D23">
      <v>30</v>
    </oc>
    <nc r="D23">
      <v>60</v>
    </nc>
  </rcc>
  <rcc rId="243" sId="1">
    <oc r="C36">
      <v>12</v>
    </oc>
    <nc r="C36">
      <v>16</v>
    </nc>
  </rcc>
  <rcc rId="244" sId="1">
    <oc r="D36">
      <v>12</v>
    </oc>
    <nc r="D36">
      <v>16</v>
    </nc>
  </rcc>
  <rcc rId="245" sId="1">
    <oc r="E36">
      <v>12</v>
    </oc>
    <nc r="E36">
      <v>16</v>
    </nc>
  </rcc>
  <rcc rId="246" sId="1">
    <oc r="F36">
      <v>12</v>
    </oc>
    <nc r="F36">
      <v>16</v>
    </nc>
  </rcc>
  <rcc rId="247" sId="1">
    <oc r="I16">
      <v>1</v>
    </oc>
    <nc r="I16">
      <v>2</v>
    </nc>
  </rcc>
  <rcc rId="248" sId="1">
    <oc r="I18">
      <v>1</v>
    </oc>
    <nc r="I18">
      <v>2</v>
    </nc>
  </rc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9" sId="1">
    <oc r="D7">
      <v>6.4</v>
    </oc>
    <nc r="D7">
      <v>6</v>
    </nc>
  </rcc>
  <rcc rId="250" sId="1">
    <oc r="D9">
      <v>600</v>
    </oc>
    <nc r="D9">
      <v>500</v>
    </nc>
  </rcc>
  <rcc rId="251" sId="1">
    <oc r="D40">
      <v>125</v>
    </oc>
    <nc r="D40">
      <v>150</v>
    </nc>
  </rcc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2" sId="1">
    <oc r="D7">
      <v>6</v>
    </oc>
    <nc r="D7">
      <v>9</v>
    </nc>
  </rcc>
  <rcc rId="253" sId="1">
    <oc r="D8">
      <v>6</v>
    </oc>
    <nc r="D8">
      <v>4.3</v>
    </nc>
  </rcc>
  <rcc rId="254" sId="1">
    <oc r="D9">
      <v>500</v>
    </oc>
    <nc r="D9">
      <v>250</v>
    </nc>
  </rcc>
  <rcc rId="255" sId="1">
    <oc r="D11">
      <v>75</v>
    </oc>
    <nc r="D11">
      <v>25</v>
    </nc>
  </rcc>
  <rcc rId="256" sId="1">
    <oc r="D14">
      <v>40</v>
    </oc>
    <nc r="D14">
      <v>30</v>
    </nc>
  </rcc>
  <rcc rId="257" sId="1" numFmtId="4">
    <oc r="D23">
      <v>60</v>
    </oc>
    <nc r="D23">
      <v>20</v>
    </nc>
  </rcc>
  <rcc rId="258" sId="1">
    <oc r="D36">
      <v>16</v>
    </oc>
    <nc r="D36">
      <v>12</v>
    </nc>
  </rcc>
  <rcc rId="259" sId="1">
    <oc r="E36">
      <v>16</v>
    </oc>
    <nc r="E36">
      <v>12</v>
    </nc>
  </rcc>
  <rcc rId="260" sId="1">
    <oc r="F36">
      <v>16</v>
    </oc>
    <nc r="F36">
      <v>12</v>
    </nc>
  </rcc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1" sId="1">
    <oc r="D7">
      <v>9</v>
    </oc>
    <nc r="D7">
      <v>12.4</v>
    </nc>
  </rcc>
  <rcc rId="262" sId="1">
    <oc r="D8">
      <v>4.3</v>
    </oc>
    <nc r="D8">
      <v>6.6</v>
    </nc>
  </rcc>
  <rcc rId="263" sId="1">
    <oc r="D14">
      <v>30</v>
    </oc>
    <nc r="D14">
      <v>25</v>
    </nc>
  </rcc>
  <rcc rId="264" sId="1" numFmtId="4">
    <oc r="D19">
      <f>T/1000*density</f>
    </oc>
    <nc r="D19">
      <v>6.25</v>
    </nc>
  </rcc>
  <rcc rId="265" sId="1" numFmtId="4">
    <oc r="D20">
      <v>4</v>
    </oc>
    <nc r="D20">
      <v>1.75</v>
    </nc>
  </rcc>
  <rcc rId="266" sId="1" numFmtId="4">
    <oc r="D23">
      <v>20</v>
    </oc>
    <nc r="D23">
      <v>0.75</v>
    </nc>
  </rcc>
  <rcc rId="267" sId="1">
    <oc r="D36">
      <v>12</v>
    </oc>
    <nc r="D36">
      <v>10</v>
    </nc>
  </rcc>
  <rcc rId="268" sId="1">
    <oc r="E36">
      <v>12</v>
    </oc>
    <nc r="E36">
      <v>10</v>
    </nc>
  </rcc>
  <rcc rId="269" sId="1" odxf="1" dxf="1">
    <oc r="F36">
      <v>12</v>
    </oc>
    <nc r="F36">
      <v>10</v>
    </nc>
    <odxf>
      <border outline="0">
        <right style="medium">
          <color indexed="64"/>
        </right>
      </border>
    </odxf>
    <ndxf>
      <border outline="0">
        <right style="thin">
          <color indexed="64"/>
        </right>
      </border>
    </ndxf>
  </rcc>
  <rcc rId="270" sId="1">
    <oc r="C36">
      <v>16</v>
    </oc>
    <nc r="C36">
      <v>12</v>
    </nc>
  </rcc>
  <rcc rId="271" sId="1">
    <oc r="D40">
      <v>150</v>
    </oc>
    <nc r="D40">
      <v>250</v>
    </nc>
  </rcc>
  <rcc rId="272" sId="1">
    <oc r="F40">
      <v>150</v>
    </oc>
    <nc r="F40">
      <v>250</v>
    </nc>
  </rcc>
  <rdn rId="0" localSheetId="1" customView="1" name="Z_6A6F7507_5F1B_4B90_A3F8_107D205DF2BA_.wvu.PrintArea" hidden="1" oldHidden="1">
    <formula>'Design of Slab'!$A$1:$J$51</formula>
  </rdn>
  <rcv guid="{6A6F7507-5F1B-4B90-A3F8-107D205DF2BA}" action="add"/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4" sId="1">
    <oc r="D9">
      <v>250</v>
    </oc>
    <nc r="D9">
      <v>150</v>
    </nc>
  </rcc>
  <rcc rId="275" sId="1" numFmtId="4">
    <oc r="D20">
      <v>1.75</v>
    </oc>
    <nc r="D20">
      <v>5.4</v>
    </nc>
  </rcc>
  <rcc rId="276" sId="1" numFmtId="4">
    <oc r="D23">
      <v>0.75</v>
    </oc>
    <nc r="D23">
      <v>5</v>
    </nc>
  </rcc>
  <rcc rId="277" sId="1">
    <oc r="D7">
      <v>12.4</v>
    </oc>
    <nc r="D7">
      <v>4</v>
    </nc>
  </rcc>
  <rcc rId="278" sId="1">
    <oc r="D8">
      <v>6.6</v>
    </oc>
    <nc r="D8">
      <v>3</v>
    </nc>
  </rcc>
  <rcc rId="279" sId="1">
    <oc r="C36">
      <v>12</v>
    </oc>
    <nc r="C36">
      <v>10</v>
    </nc>
  </rcc>
  <rcc rId="280" sId="1">
    <oc r="C40">
      <v>150</v>
    </oc>
    <nc r="C40">
      <v>175</v>
    </nc>
  </rcc>
  <rcc rId="281" sId="1">
    <oc r="D40">
      <v>250</v>
    </oc>
    <nc r="D40">
      <v>175</v>
    </nc>
  </rcc>
  <rcc rId="282" sId="1">
    <oc r="E40">
      <v>150</v>
    </oc>
    <nc r="E40">
      <v>175</v>
    </nc>
  </rcc>
  <rcc rId="283" sId="1">
    <oc r="F40">
      <v>250</v>
    </oc>
    <nc r="F40">
      <v>175</v>
    </nc>
  </rcc>
  <rcc rId="284" sId="1">
    <oc r="I16">
      <v>2</v>
    </oc>
    <nc r="I16">
      <v>1</v>
    </nc>
  </rcc>
  <rcc rId="285" sId="1">
    <oc r="I15">
      <v>2</v>
    </oc>
    <nc r="I15">
      <v>1</v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8">
  <userInfo guid="{DC7D8796-0BA5-41E0-94C9-5EBDB6325269}" name="user223" id="-668839075" dateTime="2014-06-03T17:06:18"/>
  <userInfo guid="{165D230C-C029-45D1-B251-978849BC0A88}" name="user223" id="-668839255" dateTime="2015-03-09T15:43:23"/>
  <userInfo guid="{03429AAD-96AD-481F-ACA8-96C8F8F88390}" name="KHAN Mohammad-Farhan" id="-971338194" dateTime="2017-03-09T09:49:24"/>
  <userInfo guid="{FAB75F97-466F-4B4E-8116-48559EF72BAC}" name="Arastu" id="-654334565" dateTime="2023-04-05T12:00:58"/>
  <userInfo guid="{173DAC46-19DF-43FD-BD31-C800D81D59B6}" name="Arastu" id="-654336761" dateTime="2023-06-20T17:34:39"/>
  <userInfo guid="{97CEC104-615B-40C9-9702-E41DCB7689BF}" name="Arastu" id="-654362449" dateTime="2023-09-19T20:22:34"/>
  <userInfo guid="{DE3D3BAA-DC6B-46CE-8FAE-1285404B0F0C}" name="Mohammad Arastu" id="-1408706792" dateTime="2024-06-23T12:47:39"/>
  <userInfo guid="{5BAE8608-3EA6-4C10-B156-3F46603FA9B5}" name="Mohammad Arastu" id="-1408745916" dateTime="2024-07-07T11:12:11"/>
  <userInfo guid="{6E32FBB6-2DCA-405D-88EC-47155CDFCAA9}" name="Mohammad Arastu" id="-1408708696" dateTime="2024-07-25T17:17:02"/>
  <userInfo guid="{B80B22B6-00B1-4C72-A146-21FAFDA78321}" name="Mohammad Arastu" id="-1408707649" dateTime="2024-07-29T14:21:26"/>
  <userInfo guid="{A53EEAE3-B8B4-4C68-99E3-D58FF478158A}" name="Mohammad Arastu" id="-1408726796" dateTime="2024-08-03T15:17:28"/>
  <userInfo guid="{361CB094-8175-474B-81F2-4C7D32C934A6}" name="Mohammad Arastu" id="-1408714523" dateTime="2024-08-05T14:49:27"/>
  <userInfo guid="{881F743F-3CCC-42A4-B0DA-8DE6496A444B}" name="Mohammad Arastu" id="-1408697990" dateTime="2024-08-08T16:17:55"/>
  <userInfo guid="{F133D236-11AB-479F-A1A9-FF8A890DAC79}" name="Mohammad Arastu" id="-1408725525" dateTime="2024-08-10T10:59:39"/>
  <userInfo guid="{03D48B3C-C505-4386-8CC9-7E3959F4CE8D}" name="Mohammad Arastu" id="-1408749644" dateTime="2024-08-14T14:30:11"/>
  <userInfo guid="{03D48B3C-C505-4386-8CC9-7E3959F4CE8D}" name="Hp" id="-820381266" dateTime="2024-10-08T16:22:55"/>
  <userInfo guid="{93D615AC-05A0-4B34-9D50-5FA36B43A352}" name="Hp" id="-820386394" dateTime="2024-11-23T16:02:07"/>
  <userInfo guid="{03F4626E-0367-4E65-A2E4-8210089CBCBF}" name="Hp" id="-820397165" dateTime="2026-06-21T19:54:19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10" Type="http://schemas.openxmlformats.org/officeDocument/2006/relationships/drawing" Target="../drawings/drawing1.xml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7.bin"/><Relationship Id="rId3" Type="http://schemas.openxmlformats.org/officeDocument/2006/relationships/printerSettings" Target="../printerSettings/printerSettings12.bin"/><Relationship Id="rId7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6" Type="http://schemas.openxmlformats.org/officeDocument/2006/relationships/printerSettings" Target="../printerSettings/printerSettings15.bin"/><Relationship Id="rId5" Type="http://schemas.openxmlformats.org/officeDocument/2006/relationships/printerSettings" Target="../printerSettings/printerSettings14.bin"/><Relationship Id="rId4" Type="http://schemas.openxmlformats.org/officeDocument/2006/relationships/printerSettings" Target="../printerSettings/printerSettings13.bin"/><Relationship Id="rId9" Type="http://schemas.openxmlformats.org/officeDocument/2006/relationships/printerSettings" Target="../printerSettings/printerSettings18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6.bin"/><Relationship Id="rId3" Type="http://schemas.openxmlformats.org/officeDocument/2006/relationships/printerSettings" Target="../printerSettings/printerSettings21.bin"/><Relationship Id="rId7" Type="http://schemas.openxmlformats.org/officeDocument/2006/relationships/printerSettings" Target="../printerSettings/printerSettings25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6" Type="http://schemas.openxmlformats.org/officeDocument/2006/relationships/printerSettings" Target="../printerSettings/printerSettings24.bin"/><Relationship Id="rId5" Type="http://schemas.openxmlformats.org/officeDocument/2006/relationships/printerSettings" Target="../printerSettings/printerSettings23.bin"/><Relationship Id="rId4" Type="http://schemas.openxmlformats.org/officeDocument/2006/relationships/printerSettings" Target="../printerSettings/printerSettings2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4.bin"/><Relationship Id="rId3" Type="http://schemas.openxmlformats.org/officeDocument/2006/relationships/printerSettings" Target="../printerSettings/printerSettings29.bin"/><Relationship Id="rId7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28.bin"/><Relationship Id="rId1" Type="http://schemas.openxmlformats.org/officeDocument/2006/relationships/printerSettings" Target="../printerSettings/printerSettings27.bin"/><Relationship Id="rId6" Type="http://schemas.openxmlformats.org/officeDocument/2006/relationships/printerSettings" Target="../printerSettings/printerSettings32.bin"/><Relationship Id="rId5" Type="http://schemas.openxmlformats.org/officeDocument/2006/relationships/printerSettings" Target="../printerSettings/printerSettings31.bin"/><Relationship Id="rId10" Type="http://schemas.openxmlformats.org/officeDocument/2006/relationships/drawing" Target="../drawings/drawing2.xml"/><Relationship Id="rId4" Type="http://schemas.openxmlformats.org/officeDocument/2006/relationships/printerSettings" Target="../printerSettings/printerSettings30.bin"/><Relationship Id="rId9" Type="http://schemas.openxmlformats.org/officeDocument/2006/relationships/printerSettings" Target="../printerSettings/printerSettings35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.bin"/><Relationship Id="rId2" Type="http://schemas.openxmlformats.org/officeDocument/2006/relationships/printerSettings" Target="../printerSettings/printerSettings37.bin"/><Relationship Id="rId1" Type="http://schemas.openxmlformats.org/officeDocument/2006/relationships/printerSettings" Target="../printerSettings/printerSettings36.bin"/><Relationship Id="rId6" Type="http://schemas.openxmlformats.org/officeDocument/2006/relationships/printerSettings" Target="../printerSettings/printerSettings41.bin"/><Relationship Id="rId5" Type="http://schemas.openxmlformats.org/officeDocument/2006/relationships/printerSettings" Target="../printerSettings/printerSettings40.bin"/><Relationship Id="rId4" Type="http://schemas.openxmlformats.org/officeDocument/2006/relationships/printerSettings" Target="../printerSettings/printerSettings39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9.bin"/><Relationship Id="rId3" Type="http://schemas.openxmlformats.org/officeDocument/2006/relationships/printerSettings" Target="../printerSettings/printerSettings44.bin"/><Relationship Id="rId7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3.bin"/><Relationship Id="rId1" Type="http://schemas.openxmlformats.org/officeDocument/2006/relationships/printerSettings" Target="../printerSettings/printerSettings42.bin"/><Relationship Id="rId6" Type="http://schemas.openxmlformats.org/officeDocument/2006/relationships/printerSettings" Target="../printerSettings/printerSettings47.bin"/><Relationship Id="rId5" Type="http://schemas.openxmlformats.org/officeDocument/2006/relationships/printerSettings" Target="../printerSettings/printerSettings46.bin"/><Relationship Id="rId4" Type="http://schemas.openxmlformats.org/officeDocument/2006/relationships/printerSettings" Target="../printerSettings/printerSettings45.bin"/><Relationship Id="rId9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2.bin"/><Relationship Id="rId2" Type="http://schemas.openxmlformats.org/officeDocument/2006/relationships/printerSettings" Target="../printerSettings/printerSettings51.bin"/><Relationship Id="rId1" Type="http://schemas.openxmlformats.org/officeDocument/2006/relationships/printerSettings" Target="../printerSettings/printerSettings50.bin"/><Relationship Id="rId6" Type="http://schemas.openxmlformats.org/officeDocument/2006/relationships/printerSettings" Target="../printerSettings/printerSettings55.bin"/><Relationship Id="rId5" Type="http://schemas.openxmlformats.org/officeDocument/2006/relationships/printerSettings" Target="../printerSettings/printerSettings54.bin"/><Relationship Id="rId4" Type="http://schemas.openxmlformats.org/officeDocument/2006/relationships/printerSettings" Target="../printerSettings/printerSettings53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3.bin"/><Relationship Id="rId3" Type="http://schemas.openxmlformats.org/officeDocument/2006/relationships/printerSettings" Target="../printerSettings/printerSettings58.bin"/><Relationship Id="rId7" Type="http://schemas.openxmlformats.org/officeDocument/2006/relationships/printerSettings" Target="../printerSettings/printerSettings62.bin"/><Relationship Id="rId2" Type="http://schemas.openxmlformats.org/officeDocument/2006/relationships/printerSettings" Target="../printerSettings/printerSettings57.bin"/><Relationship Id="rId1" Type="http://schemas.openxmlformats.org/officeDocument/2006/relationships/printerSettings" Target="../printerSettings/printerSettings56.bin"/><Relationship Id="rId6" Type="http://schemas.openxmlformats.org/officeDocument/2006/relationships/printerSettings" Target="../printerSettings/printerSettings61.bin"/><Relationship Id="rId5" Type="http://schemas.openxmlformats.org/officeDocument/2006/relationships/printerSettings" Target="../printerSettings/printerSettings60.bin"/><Relationship Id="rId4" Type="http://schemas.openxmlformats.org/officeDocument/2006/relationships/printerSettings" Target="../printerSettings/printerSettings59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1.bin"/><Relationship Id="rId3" Type="http://schemas.openxmlformats.org/officeDocument/2006/relationships/printerSettings" Target="../printerSettings/printerSettings66.bin"/><Relationship Id="rId7" Type="http://schemas.openxmlformats.org/officeDocument/2006/relationships/printerSettings" Target="../printerSettings/printerSettings70.bin"/><Relationship Id="rId2" Type="http://schemas.openxmlformats.org/officeDocument/2006/relationships/printerSettings" Target="../printerSettings/printerSettings65.bin"/><Relationship Id="rId1" Type="http://schemas.openxmlformats.org/officeDocument/2006/relationships/printerSettings" Target="../printerSettings/printerSettings64.bin"/><Relationship Id="rId6" Type="http://schemas.openxmlformats.org/officeDocument/2006/relationships/printerSettings" Target="../printerSettings/printerSettings69.bin"/><Relationship Id="rId5" Type="http://schemas.openxmlformats.org/officeDocument/2006/relationships/printerSettings" Target="../printerSettings/printerSettings68.bin"/><Relationship Id="rId4" Type="http://schemas.openxmlformats.org/officeDocument/2006/relationships/printerSettings" Target="../printerSettings/printerSettings67.bin"/><Relationship Id="rId9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9.bin"/><Relationship Id="rId3" Type="http://schemas.openxmlformats.org/officeDocument/2006/relationships/printerSettings" Target="../printerSettings/printerSettings74.bin"/><Relationship Id="rId7" Type="http://schemas.openxmlformats.org/officeDocument/2006/relationships/printerSettings" Target="../printerSettings/printerSettings78.bin"/><Relationship Id="rId2" Type="http://schemas.openxmlformats.org/officeDocument/2006/relationships/printerSettings" Target="../printerSettings/printerSettings73.bin"/><Relationship Id="rId1" Type="http://schemas.openxmlformats.org/officeDocument/2006/relationships/printerSettings" Target="../printerSettings/printerSettings72.bin"/><Relationship Id="rId6" Type="http://schemas.openxmlformats.org/officeDocument/2006/relationships/printerSettings" Target="../printerSettings/printerSettings77.bin"/><Relationship Id="rId5" Type="http://schemas.openxmlformats.org/officeDocument/2006/relationships/printerSettings" Target="../printerSettings/printerSettings76.bin"/><Relationship Id="rId4" Type="http://schemas.openxmlformats.org/officeDocument/2006/relationships/printerSettings" Target="../printerSettings/printerSettings75.bin"/><Relationship Id="rId9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7.bin"/><Relationship Id="rId3" Type="http://schemas.openxmlformats.org/officeDocument/2006/relationships/printerSettings" Target="../printerSettings/printerSettings82.bin"/><Relationship Id="rId7" Type="http://schemas.openxmlformats.org/officeDocument/2006/relationships/printerSettings" Target="../printerSettings/printerSettings86.bin"/><Relationship Id="rId2" Type="http://schemas.openxmlformats.org/officeDocument/2006/relationships/printerSettings" Target="../printerSettings/printerSettings81.bin"/><Relationship Id="rId1" Type="http://schemas.openxmlformats.org/officeDocument/2006/relationships/printerSettings" Target="../printerSettings/printerSettings80.bin"/><Relationship Id="rId6" Type="http://schemas.openxmlformats.org/officeDocument/2006/relationships/printerSettings" Target="../printerSettings/printerSettings85.bin"/><Relationship Id="rId5" Type="http://schemas.openxmlformats.org/officeDocument/2006/relationships/printerSettings" Target="../printerSettings/printerSettings84.bin"/><Relationship Id="rId4" Type="http://schemas.openxmlformats.org/officeDocument/2006/relationships/printerSettings" Target="../printerSettings/printerSettings83.bin"/><Relationship Id="rId9" Type="http://schemas.openxmlformats.org/officeDocument/2006/relationships/printerSettings" Target="../printerSettings/printerSettings8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1.bin"/><Relationship Id="rId2" Type="http://schemas.openxmlformats.org/officeDocument/2006/relationships/printerSettings" Target="../printerSettings/printerSettings90.bin"/><Relationship Id="rId1" Type="http://schemas.openxmlformats.org/officeDocument/2006/relationships/printerSettings" Target="../printerSettings/printerSettings89.bin"/><Relationship Id="rId6" Type="http://schemas.openxmlformats.org/officeDocument/2006/relationships/printerSettings" Target="../printerSettings/printerSettings94.bin"/><Relationship Id="rId5" Type="http://schemas.openxmlformats.org/officeDocument/2006/relationships/printerSettings" Target="../printerSettings/printerSettings93.bin"/><Relationship Id="rId4" Type="http://schemas.openxmlformats.org/officeDocument/2006/relationships/printerSettings" Target="../printerSettings/printerSettings9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4"/>
  <sheetViews>
    <sheetView tabSelected="1" view="pageBreakPreview" topLeftCell="A11" zoomScale="85" zoomScaleNormal="90" zoomScaleSheetLayoutView="85" workbookViewId="0">
      <selection activeCell="I15" sqref="I15"/>
    </sheetView>
  </sheetViews>
  <sheetFormatPr defaultRowHeight="13.2"/>
  <cols>
    <col min="2" max="2" width="12.109375" customWidth="1"/>
    <col min="3" max="3" width="10.33203125" customWidth="1"/>
    <col min="4" max="4" width="10.88671875" bestFit="1" customWidth="1"/>
    <col min="5" max="5" width="11.6640625" customWidth="1"/>
    <col min="6" max="6" width="10.88671875" bestFit="1" customWidth="1"/>
    <col min="8" max="8" width="12" customWidth="1"/>
    <col min="9" max="9" width="8.5546875" customWidth="1"/>
    <col min="10" max="10" width="13.6640625" customWidth="1"/>
  </cols>
  <sheetData>
    <row r="1" spans="1:10" ht="13.8">
      <c r="A1" s="3"/>
      <c r="B1" s="158"/>
      <c r="C1" s="158"/>
      <c r="D1" s="158"/>
      <c r="E1" s="249" t="s">
        <v>370</v>
      </c>
      <c r="F1" s="345"/>
      <c r="G1" s="345"/>
      <c r="H1" s="345"/>
      <c r="I1" s="345"/>
      <c r="J1" s="346"/>
    </row>
    <row r="2" spans="1:10" ht="18.75" customHeight="1">
      <c r="A2" s="7"/>
      <c r="B2" s="344"/>
      <c r="C2" s="344"/>
      <c r="D2" s="344"/>
      <c r="E2" s="250" t="s">
        <v>371</v>
      </c>
      <c r="F2" s="349"/>
      <c r="G2" s="349"/>
      <c r="H2" s="251" t="s">
        <v>372</v>
      </c>
      <c r="I2" s="347">
        <f ca="1">TODAY()</f>
        <v>45692</v>
      </c>
      <c r="J2" s="348"/>
    </row>
    <row r="3" spans="1:10" ht="15.75" customHeight="1" thickBot="1">
      <c r="A3" s="5"/>
      <c r="B3" s="148"/>
      <c r="C3" s="148"/>
      <c r="D3" s="148"/>
      <c r="E3" s="252" t="s">
        <v>373</v>
      </c>
      <c r="F3" s="350" t="s">
        <v>392</v>
      </c>
      <c r="G3" s="351"/>
      <c r="H3" s="351"/>
      <c r="I3" s="351"/>
      <c r="J3" s="352"/>
    </row>
    <row r="4" spans="1:10" ht="18" thickBot="1">
      <c r="A4" s="298" t="s">
        <v>6</v>
      </c>
      <c r="B4" s="299"/>
      <c r="C4" s="299"/>
      <c r="D4" s="299"/>
      <c r="E4" s="300"/>
      <c r="F4" s="300"/>
      <c r="G4" s="300"/>
      <c r="H4" s="300"/>
      <c r="I4" s="300"/>
      <c r="J4" s="301"/>
    </row>
    <row r="5" spans="1:10" ht="13.8" thickBot="1">
      <c r="A5" s="14" t="s">
        <v>181</v>
      </c>
      <c r="B5" s="227"/>
      <c r="C5" s="14" t="s">
        <v>182</v>
      </c>
      <c r="D5" s="14"/>
      <c r="E5" s="14"/>
      <c r="F5" s="14"/>
      <c r="G5" s="14"/>
      <c r="H5" s="14"/>
      <c r="I5" s="14"/>
      <c r="J5" s="14"/>
    </row>
    <row r="6" spans="1:10">
      <c r="A6" s="264" t="s">
        <v>63</v>
      </c>
      <c r="B6" s="265"/>
      <c r="C6" s="265"/>
      <c r="D6" s="265"/>
      <c r="E6" s="266"/>
      <c r="F6" s="14"/>
      <c r="G6" s="319" t="s">
        <v>72</v>
      </c>
      <c r="H6" s="320"/>
      <c r="I6" s="320"/>
      <c r="J6" s="321"/>
    </row>
    <row r="7" spans="1:10" ht="14.25" customHeight="1">
      <c r="A7" s="326" t="s">
        <v>66</v>
      </c>
      <c r="B7" s="327"/>
      <c r="C7" s="328"/>
      <c r="D7" s="11">
        <v>4</v>
      </c>
      <c r="E7" s="64" t="s">
        <v>60</v>
      </c>
      <c r="F7" s="14"/>
      <c r="G7" s="107"/>
      <c r="H7" s="14"/>
      <c r="I7" s="14"/>
      <c r="J7" s="40"/>
    </row>
    <row r="8" spans="1:10">
      <c r="A8" s="329" t="s">
        <v>67</v>
      </c>
      <c r="B8" s="330"/>
      <c r="C8" s="289"/>
      <c r="D8" s="11">
        <v>3</v>
      </c>
      <c r="E8" s="64" t="s">
        <v>60</v>
      </c>
      <c r="F8" s="14"/>
      <c r="G8" s="107"/>
      <c r="H8" s="14"/>
      <c r="I8" s="14"/>
      <c r="J8" s="40"/>
    </row>
    <row r="9" spans="1:10">
      <c r="A9" s="54" t="s">
        <v>68</v>
      </c>
      <c r="B9" s="17"/>
      <c r="C9" s="17"/>
      <c r="D9" s="11">
        <v>150</v>
      </c>
      <c r="E9" s="64" t="s">
        <v>61</v>
      </c>
      <c r="F9" s="14"/>
      <c r="G9" s="107"/>
      <c r="H9" s="14"/>
      <c r="I9" s="14"/>
      <c r="J9" s="40"/>
    </row>
    <row r="10" spans="1:10">
      <c r="A10" s="267" t="s">
        <v>171</v>
      </c>
      <c r="B10" s="268"/>
      <c r="C10" s="268"/>
      <c r="D10" s="73">
        <f>IF('Deflection control'!E38&gt;0,MAX(dreqd,'Deflection control'!E38),dreqd)</f>
        <v>116.95652173913044</v>
      </c>
      <c r="E10" s="64" t="s">
        <v>61</v>
      </c>
      <c r="F10" s="14"/>
      <c r="G10" s="107"/>
      <c r="H10" s="14"/>
      <c r="I10" s="14"/>
      <c r="J10" s="40" t="s">
        <v>14</v>
      </c>
    </row>
    <row r="11" spans="1:10" ht="13.8" thickBot="1">
      <c r="A11" s="229" t="s">
        <v>62</v>
      </c>
      <c r="B11" s="72"/>
      <c r="C11" s="72"/>
      <c r="D11" s="258">
        <v>25</v>
      </c>
      <c r="E11" s="230" t="s">
        <v>61</v>
      </c>
      <c r="F11" s="14"/>
      <c r="G11" s="107"/>
      <c r="H11" s="14"/>
      <c r="I11" s="14"/>
      <c r="J11" s="40"/>
    </row>
    <row r="12" spans="1:10" ht="13.8" thickBot="1">
      <c r="A12" s="14"/>
      <c r="B12" s="14"/>
      <c r="C12" s="14"/>
      <c r="D12" s="14"/>
      <c r="E12" s="14"/>
      <c r="F12" s="14"/>
      <c r="G12" s="107"/>
      <c r="H12" s="14"/>
      <c r="I12" s="14"/>
      <c r="J12" s="40"/>
    </row>
    <row r="13" spans="1:10">
      <c r="A13" s="319" t="s">
        <v>71</v>
      </c>
      <c r="B13" s="320"/>
      <c r="C13" s="320"/>
      <c r="D13" s="320"/>
      <c r="E13" s="321"/>
      <c r="F13" s="14"/>
      <c r="G13" s="339" t="s">
        <v>59</v>
      </c>
      <c r="H13" s="340"/>
      <c r="I13" s="340"/>
      <c r="J13" s="231">
        <f>Ly/Lx</f>
        <v>1.3333333333333333</v>
      </c>
    </row>
    <row r="14" spans="1:10" ht="15.6">
      <c r="A14" s="267" t="s">
        <v>69</v>
      </c>
      <c r="B14" s="268"/>
      <c r="C14" s="268"/>
      <c r="D14" s="259">
        <v>25</v>
      </c>
      <c r="E14" s="64" t="s">
        <v>65</v>
      </c>
      <c r="F14" s="14"/>
      <c r="G14" s="342" t="s">
        <v>40</v>
      </c>
      <c r="H14" s="343"/>
      <c r="I14" s="271" t="s">
        <v>15</v>
      </c>
      <c r="J14" s="272"/>
    </row>
    <row r="15" spans="1:10" ht="15.6">
      <c r="A15" s="267" t="s">
        <v>70</v>
      </c>
      <c r="B15" s="268"/>
      <c r="C15" s="268"/>
      <c r="D15" s="17">
        <f>'Default values'!E7</f>
        <v>500</v>
      </c>
      <c r="E15" s="64" t="s">
        <v>65</v>
      </c>
      <c r="F15" s="14"/>
      <c r="G15" s="285" t="s">
        <v>45</v>
      </c>
      <c r="H15" s="17" t="s">
        <v>41</v>
      </c>
      <c r="I15" s="10">
        <v>1</v>
      </c>
      <c r="J15" s="341" t="s">
        <v>20</v>
      </c>
    </row>
    <row r="16" spans="1:10" ht="16.2" thickBot="1">
      <c r="A16" s="322" t="s">
        <v>64</v>
      </c>
      <c r="B16" s="323"/>
      <c r="C16" s="323"/>
      <c r="D16" s="72">
        <f>density</f>
        <v>25</v>
      </c>
      <c r="E16" s="230" t="s">
        <v>391</v>
      </c>
      <c r="F16" s="14"/>
      <c r="G16" s="285"/>
      <c r="H16" s="17" t="s">
        <v>42</v>
      </c>
      <c r="I16" s="10">
        <v>1</v>
      </c>
      <c r="J16" s="341"/>
    </row>
    <row r="17" spans="1:10" ht="13.8" thickBot="1">
      <c r="A17" s="14"/>
      <c r="B17" s="14"/>
      <c r="C17" s="14"/>
      <c r="D17" s="14"/>
      <c r="E17" s="14"/>
      <c r="F17" s="14"/>
      <c r="G17" s="285" t="s">
        <v>46</v>
      </c>
      <c r="H17" s="17" t="s">
        <v>43</v>
      </c>
      <c r="I17" s="10">
        <v>2</v>
      </c>
      <c r="J17" s="341"/>
    </row>
    <row r="18" spans="1:10">
      <c r="A18" s="264" t="s">
        <v>77</v>
      </c>
      <c r="B18" s="265"/>
      <c r="C18" s="265"/>
      <c r="D18" s="265"/>
      <c r="E18" s="266"/>
      <c r="F18" s="14"/>
      <c r="G18" s="285"/>
      <c r="H18" s="17" t="s">
        <v>44</v>
      </c>
      <c r="I18" s="10">
        <v>2</v>
      </c>
      <c r="J18" s="341"/>
    </row>
    <row r="19" spans="1:10" ht="15.6">
      <c r="A19" s="306" t="s">
        <v>73</v>
      </c>
      <c r="B19" s="307"/>
      <c r="C19" s="307"/>
      <c r="D19" s="74">
        <v>6.25</v>
      </c>
      <c r="E19" s="64" t="s">
        <v>390</v>
      </c>
      <c r="F19" s="14"/>
      <c r="G19" s="359" t="str">
        <f>'Support Index'!H25</f>
        <v>Cond-4</v>
      </c>
      <c r="H19" s="360"/>
      <c r="I19" s="360"/>
      <c r="J19" s="361"/>
    </row>
    <row r="20" spans="1:10" ht="16.2" thickBot="1">
      <c r="A20" s="306" t="s">
        <v>74</v>
      </c>
      <c r="B20" s="307"/>
      <c r="C20" s="307"/>
      <c r="D20" s="12">
        <v>5.4</v>
      </c>
      <c r="E20" s="64" t="s">
        <v>390</v>
      </c>
      <c r="F20" s="14"/>
      <c r="G20" s="336" t="str">
        <f>'Support Index'!H26</f>
        <v>Two short edges discontinuous</v>
      </c>
      <c r="H20" s="337"/>
      <c r="I20" s="337"/>
      <c r="J20" s="338"/>
    </row>
    <row r="21" spans="1:10" ht="16.2" thickBot="1">
      <c r="A21" s="306" t="s">
        <v>75</v>
      </c>
      <c r="B21" s="307"/>
      <c r="C21" s="307"/>
      <c r="D21" s="12">
        <v>0</v>
      </c>
      <c r="E21" s="64" t="s">
        <v>390</v>
      </c>
      <c r="F21" s="14"/>
      <c r="G21" s="302" t="s">
        <v>81</v>
      </c>
      <c r="H21" s="303"/>
      <c r="I21" s="303"/>
      <c r="J21" s="232">
        <f>d</f>
        <v>120</v>
      </c>
    </row>
    <row r="22" spans="1:10" ht="16.2" thickBot="1">
      <c r="A22" s="306" t="s">
        <v>78</v>
      </c>
      <c r="B22" s="307"/>
      <c r="C22" s="307"/>
      <c r="D22" s="74">
        <f>SUM(D19:D21)</f>
        <v>11.65</v>
      </c>
      <c r="E22" s="64" t="s">
        <v>390</v>
      </c>
      <c r="F22" s="14"/>
      <c r="G22" s="331" t="s">
        <v>176</v>
      </c>
      <c r="H22" s="332"/>
      <c r="I22" s="332"/>
      <c r="J22" s="333"/>
    </row>
    <row r="23" spans="1:10" ht="15.6">
      <c r="A23" s="306" t="s">
        <v>79</v>
      </c>
      <c r="B23" s="307"/>
      <c r="C23" s="307"/>
      <c r="D23" s="12">
        <v>5</v>
      </c>
      <c r="E23" s="64" t="s">
        <v>390</v>
      </c>
      <c r="F23" s="14"/>
      <c r="G23" s="334" t="s">
        <v>177</v>
      </c>
      <c r="H23" s="335"/>
      <c r="I23" s="324" t="str">
        <f>IF(Ly&lt;=0,"Ly should be &gt;0",IF(Lx&lt;=0, "Lx should be &gt;0",IF(T&lt;=0,"Thickness should be &gt;0",IF(Ly&lt;Lx,"Check, Lx&gt;Ly","None"))))</f>
        <v>None</v>
      </c>
      <c r="J23" s="325"/>
    </row>
    <row r="24" spans="1:10" ht="15.6">
      <c r="A24" s="306" t="s">
        <v>80</v>
      </c>
      <c r="B24" s="307"/>
      <c r="C24" s="307"/>
      <c r="D24" s="74">
        <f>DL+LL</f>
        <v>16.649999999999999</v>
      </c>
      <c r="E24" s="64" t="s">
        <v>390</v>
      </c>
      <c r="F24" s="14"/>
      <c r="G24" s="267" t="s">
        <v>178</v>
      </c>
      <c r="H24" s="268"/>
      <c r="I24" s="367" t="str">
        <f>IF(G19=FALSE, "Values should be 1or 2","None")</f>
        <v>None</v>
      </c>
      <c r="J24" s="368"/>
    </row>
    <row r="25" spans="1:10" ht="16.2" thickBot="1">
      <c r="A25" s="310" t="s">
        <v>76</v>
      </c>
      <c r="B25" s="311"/>
      <c r="C25" s="311"/>
      <c r="D25" s="75">
        <f>1.5*w</f>
        <v>24.974999999999998</v>
      </c>
      <c r="E25" s="64" t="s">
        <v>390</v>
      </c>
      <c r="F25" s="14"/>
      <c r="G25" s="322" t="s">
        <v>179</v>
      </c>
      <c r="H25" s="323"/>
      <c r="I25" s="308" t="str">
        <f>IF(D20&lt; 0,"load should be =&gt;0",IF(D21&lt;0, "Load should be =&gt;0",IF(LL&lt;0,"LL should be =&gt;0","None")))</f>
        <v>None</v>
      </c>
      <c r="J25" s="309"/>
    </row>
    <row r="26" spans="1:10" ht="13.8" thickBot="1">
      <c r="A26" s="312" t="str">
        <f>IF(ratio&gt;2," THIS IS A ONE WAY SLAB", " THIS IS A TWO WAY SLAB")</f>
        <v xml:space="preserve"> THIS IS A TWO WAY SLAB</v>
      </c>
      <c r="B26" s="313"/>
      <c r="C26" s="313"/>
      <c r="D26" s="313"/>
      <c r="E26" s="313"/>
      <c r="F26" s="313"/>
      <c r="G26" s="314"/>
      <c r="H26" s="314"/>
      <c r="I26" s="314"/>
      <c r="J26" s="315"/>
    </row>
    <row r="27" spans="1:10">
      <c r="A27" s="319" t="s">
        <v>128</v>
      </c>
      <c r="B27" s="362"/>
      <c r="C27" s="362"/>
      <c r="D27" s="362"/>
      <c r="E27" s="362"/>
      <c r="F27" s="363"/>
      <c r="G27" s="316" t="s">
        <v>134</v>
      </c>
      <c r="H27" s="317"/>
      <c r="I27" s="317"/>
      <c r="J27" s="318"/>
    </row>
    <row r="28" spans="1:10">
      <c r="A28" s="54"/>
      <c r="B28" s="17"/>
      <c r="C28" s="304" t="s">
        <v>83</v>
      </c>
      <c r="D28" s="304"/>
      <c r="E28" s="304" t="s">
        <v>82</v>
      </c>
      <c r="F28" s="305"/>
      <c r="G28" s="107"/>
      <c r="H28" s="14"/>
      <c r="I28" s="14"/>
      <c r="J28" s="40"/>
    </row>
    <row r="29" spans="1:10">
      <c r="A29" s="54"/>
      <c r="B29" s="17"/>
      <c r="C29" s="17" t="s">
        <v>84</v>
      </c>
      <c r="D29" s="17" t="s">
        <v>85</v>
      </c>
      <c r="E29" s="17" t="s">
        <v>86</v>
      </c>
      <c r="F29" s="64" t="s">
        <v>85</v>
      </c>
      <c r="G29" s="107"/>
      <c r="H29" s="14"/>
      <c r="I29" s="14"/>
      <c r="J29" s="40"/>
    </row>
    <row r="30" spans="1:10">
      <c r="A30" s="267" t="s">
        <v>87</v>
      </c>
      <c r="B30" s="268"/>
      <c r="C30" s="17">
        <f>'Moment Coeff'!F5</f>
        <v>4.3999999999999997E-2</v>
      </c>
      <c r="D30" s="17">
        <f>'Moment Coeff'!G5</f>
        <v>5.8999999999999997E-2</v>
      </c>
      <c r="E30" s="17">
        <f>'Moment Coeff'!H5</f>
        <v>3.5000000000000003E-2</v>
      </c>
      <c r="F30" s="64">
        <f>'Moment Coeff'!I5</f>
        <v>0</v>
      </c>
      <c r="G30" s="107"/>
      <c r="H30" s="14"/>
      <c r="I30" s="14"/>
      <c r="J30" s="40"/>
    </row>
    <row r="31" spans="1:10">
      <c r="A31" s="54" t="s">
        <v>88</v>
      </c>
      <c r="B31" s="17"/>
      <c r="C31" s="74">
        <f>C30*Wult*Lx^2</f>
        <v>9.8900999999999986</v>
      </c>
      <c r="D31" s="74">
        <f>D30*Wult*Lx^2</f>
        <v>13.261724999999998</v>
      </c>
      <c r="E31" s="74">
        <f>E30*Wult*Lx^2</f>
        <v>7.8671250000000006</v>
      </c>
      <c r="F31" s="215">
        <f>F30*Wult*Lx^2</f>
        <v>0</v>
      </c>
      <c r="G31" s="70" t="str">
        <f>"       T"&amp;F36&amp;"@"&amp;F40&amp;"c/c"</f>
        <v xml:space="preserve">       T10@175c/c</v>
      </c>
      <c r="H31" s="14"/>
      <c r="I31" s="37" t="str">
        <f>"T"&amp;C36&amp;"@"&amp;C40&amp;"c/c"</f>
        <v>T10@175c/c</v>
      </c>
      <c r="J31" s="40"/>
    </row>
    <row r="32" spans="1:10" ht="25.5" customHeight="1">
      <c r="A32" s="364" t="str">
        <f>"Remarks :"&amp;Remarks</f>
        <v>Remarks : It has been designed as under-reinforced section</v>
      </c>
      <c r="B32" s="365"/>
      <c r="C32" s="365"/>
      <c r="D32" s="365"/>
      <c r="E32" s="365"/>
      <c r="F32" s="366"/>
      <c r="G32" s="107"/>
      <c r="H32" s="14"/>
      <c r="I32" s="14"/>
      <c r="J32" s="71" t="str">
        <f>"T"&amp;E36&amp;"@"&amp;E40&amp;"c/c"</f>
        <v>T10@175c/c</v>
      </c>
    </row>
    <row r="33" spans="1:11">
      <c r="A33" s="267" t="s">
        <v>89</v>
      </c>
      <c r="B33" s="268"/>
      <c r="C33" s="23">
        <f>Ast_sh_span</f>
        <v>195.90266450590215</v>
      </c>
      <c r="D33" s="23">
        <f>Ast_sh_supp</f>
        <v>268.433507184392</v>
      </c>
      <c r="E33" s="23">
        <f>Ast_ln_span</f>
        <v>155.54074346288417</v>
      </c>
      <c r="F33" s="65">
        <f>Ast_ln_supp</f>
        <v>0</v>
      </c>
      <c r="G33" s="107"/>
      <c r="H33" s="14"/>
      <c r="I33" s="14"/>
      <c r="J33" s="40"/>
    </row>
    <row r="34" spans="1:11">
      <c r="A34" s="267" t="s">
        <v>120</v>
      </c>
      <c r="B34" s="268"/>
      <c r="C34" s="271">
        <f>0.12/100*b*d</f>
        <v>144</v>
      </c>
      <c r="D34" s="271"/>
      <c r="E34" s="271"/>
      <c r="F34" s="272"/>
      <c r="G34" s="107"/>
      <c r="H34" s="14"/>
      <c r="I34" s="37" t="str">
        <f>"T"&amp;D36&amp;"@"&amp;D40&amp;"c/c"</f>
        <v>T10@175c/c</v>
      </c>
      <c r="J34" s="40"/>
    </row>
    <row r="35" spans="1:11">
      <c r="A35" s="54" t="s">
        <v>121</v>
      </c>
      <c r="B35" s="17"/>
      <c r="C35" s="67">
        <f>IF(C33&lt;astmin,astmin,C33)</f>
        <v>195.90266450590215</v>
      </c>
      <c r="D35" s="67">
        <f>IF(D33&lt;astmin,astmin,D33)</f>
        <v>268.433507184392</v>
      </c>
      <c r="E35" s="67">
        <f>IF(E33&lt;astmin,astmin,E33)</f>
        <v>155.54074346288417</v>
      </c>
      <c r="F35" s="68">
        <f>IF(F33&lt;astmin,astmin,F33)</f>
        <v>144</v>
      </c>
      <c r="G35" s="107"/>
      <c r="H35" s="14"/>
      <c r="I35" s="14"/>
      <c r="J35" s="40"/>
    </row>
    <row r="36" spans="1:11">
      <c r="A36" s="273" t="s">
        <v>122</v>
      </c>
      <c r="B36" s="274"/>
      <c r="C36" s="13">
        <v>10</v>
      </c>
      <c r="D36" s="13">
        <v>10</v>
      </c>
      <c r="E36" s="13">
        <v>10</v>
      </c>
      <c r="F36" s="13">
        <v>10</v>
      </c>
      <c r="G36" s="107"/>
      <c r="H36" s="14"/>
      <c r="I36" s="14"/>
      <c r="J36" s="40"/>
    </row>
    <row r="37" spans="1:11">
      <c r="A37" s="267" t="s">
        <v>123</v>
      </c>
      <c r="B37" s="268"/>
      <c r="C37" s="23">
        <f>(PI()/4*C36^2*1000/C35)</f>
        <v>400.91244566700925</v>
      </c>
      <c r="D37" s="23">
        <f>(PI()/4*D36^2*1000/D35)</f>
        <v>292.58573999778042</v>
      </c>
      <c r="E37" s="23">
        <f>(PI()/4*E36^2*1000/E35)</f>
        <v>504.94690067163248</v>
      </c>
      <c r="F37" s="23">
        <f>(PI()/4*F36^2*1000/F35)</f>
        <v>545.41539124822805</v>
      </c>
      <c r="G37" s="275" t="str">
        <f>"Overall Thickness of the slab is "&amp;T&amp;" mm"</f>
        <v>Overall Thickness of the slab is 150 mm</v>
      </c>
      <c r="H37" s="276"/>
      <c r="I37" s="276"/>
      <c r="J37" s="277"/>
    </row>
    <row r="38" spans="1:11">
      <c r="A38" s="267" t="s">
        <v>126</v>
      </c>
      <c r="B38" s="268"/>
      <c r="C38" s="271">
        <f>MAX((MAX(C36,D36,E36,F36)),(20+5))+MAX(C36,D36,E36,F36)</f>
        <v>35</v>
      </c>
      <c r="D38" s="271"/>
      <c r="E38" s="271"/>
      <c r="F38" s="272"/>
      <c r="G38" s="107"/>
      <c r="H38" s="14"/>
      <c r="I38" s="14"/>
      <c r="J38" s="40"/>
    </row>
    <row r="39" spans="1:11">
      <c r="A39" s="267" t="s">
        <v>124</v>
      </c>
      <c r="B39" s="268"/>
      <c r="C39" s="18">
        <f>MIN(3*d,300)</f>
        <v>300</v>
      </c>
      <c r="D39" s="18">
        <f>MIN(3*d,300)</f>
        <v>300</v>
      </c>
      <c r="E39" s="18">
        <f>MIN(3*d,300)</f>
        <v>300</v>
      </c>
      <c r="F39" s="18">
        <f>MIN(3*d,300)</f>
        <v>300</v>
      </c>
      <c r="G39" s="113"/>
      <c r="H39" s="233" t="s">
        <v>180</v>
      </c>
      <c r="I39" s="69" t="str">
        <f>IF(Checks!E11=0,"O.K","NOT O.K")</f>
        <v>O.K</v>
      </c>
      <c r="J39" s="255"/>
    </row>
    <row r="40" spans="1:11">
      <c r="A40" s="273" t="s">
        <v>125</v>
      </c>
      <c r="B40" s="274"/>
      <c r="C40" s="13">
        <v>175</v>
      </c>
      <c r="D40" s="13">
        <v>175</v>
      </c>
      <c r="E40" s="13">
        <v>175</v>
      </c>
      <c r="F40" s="13">
        <v>175</v>
      </c>
      <c r="G40" s="353" t="str">
        <f>IF(J44&gt;J45,"To check shear you may also try to increase reinf at supports"," ")</f>
        <v xml:space="preserve"> </v>
      </c>
      <c r="H40" s="354"/>
      <c r="I40" s="354"/>
      <c r="J40" s="355"/>
    </row>
    <row r="41" spans="1:11" ht="13.8" thickBot="1">
      <c r="A41" s="282" t="s">
        <v>127</v>
      </c>
      <c r="B41" s="283"/>
      <c r="C41" s="127" t="str">
        <f>IF(C40&lt;=C37,IF(C40&gt;=$C$38,IF(C40&lt;=C39,"O.K","Not O.K"),"Not O.K"),"Not O.K")</f>
        <v>O.K</v>
      </c>
      <c r="D41" s="127" t="str">
        <f>IF(D40&lt;=D37,IF(D40&gt;$C$38,IF(D40&lt;D39,"O.K", "Not O.K"),"Not O.K"), "Not O.K")</f>
        <v>O.K</v>
      </c>
      <c r="E41" s="127" t="str">
        <f>IF(E40&lt;=E37,IF(E40&gt;$C$38,IF(E40&lt;E39,"O.K", "Not O.K"),"Not O.K"), "Not O.K")</f>
        <v>O.K</v>
      </c>
      <c r="F41" s="128" t="str">
        <f>IF(F40&lt;=F37,IF(F40&gt;$C$38,IF(F40&lt;F39,"O.K", "Not O.K"),"Not O.K"), "Not O.K")</f>
        <v>O.K</v>
      </c>
      <c r="G41" s="356"/>
      <c r="H41" s="357"/>
      <c r="I41" s="357"/>
      <c r="J41" s="358"/>
    </row>
    <row r="42" spans="1:11" ht="13.8" thickBot="1">
      <c r="A42" s="278" t="str">
        <f>IF(G46&lt;&gt;"O.K","Deflection can also be controlled by increasing reinforcement at span in shorter direction"," ")</f>
        <v xml:space="preserve"> </v>
      </c>
      <c r="B42" s="278"/>
      <c r="C42" s="278"/>
      <c r="D42" s="278"/>
      <c r="E42" s="278"/>
      <c r="F42" s="278"/>
      <c r="G42" s="279"/>
      <c r="H42" s="264" t="s">
        <v>255</v>
      </c>
      <c r="I42" s="265"/>
      <c r="J42" s="266"/>
    </row>
    <row r="43" spans="1:11">
      <c r="A43" s="264" t="s">
        <v>172</v>
      </c>
      <c r="B43" s="265"/>
      <c r="C43" s="265"/>
      <c r="D43" s="265"/>
      <c r="E43" s="265"/>
      <c r="F43" s="265"/>
      <c r="G43" s="266"/>
      <c r="H43" s="235" t="s">
        <v>256</v>
      </c>
      <c r="I43" s="17"/>
      <c r="J43" s="129">
        <f>Vu</f>
        <v>23.414062499999996</v>
      </c>
    </row>
    <row r="44" spans="1:11">
      <c r="A44" s="54" t="s">
        <v>173</v>
      </c>
      <c r="B44" s="17"/>
      <c r="C44" s="17"/>
      <c r="D44" s="17"/>
      <c r="E44" s="17"/>
      <c r="F44" s="17"/>
      <c r="G44" s="226">
        <f>spanbydepth</f>
        <v>46</v>
      </c>
      <c r="H44" s="235" t="s">
        <v>257</v>
      </c>
      <c r="I44" s="17"/>
      <c r="J44" s="130">
        <f>actualshearstress</f>
        <v>0.21285511363636361</v>
      </c>
    </row>
    <row r="45" spans="1:11">
      <c r="A45" s="267" t="s">
        <v>174</v>
      </c>
      <c r="B45" s="268"/>
      <c r="C45" s="268"/>
      <c r="D45" s="268"/>
      <c r="E45" s="268"/>
      <c r="F45" s="268"/>
      <c r="G45" s="226">
        <f>Lx*1000/d</f>
        <v>25</v>
      </c>
      <c r="H45" s="228" t="s">
        <v>258</v>
      </c>
      <c r="I45" s="208"/>
      <c r="J45" s="131">
        <f>Tauc</f>
        <v>0.438</v>
      </c>
    </row>
    <row r="46" spans="1:11" ht="13.8" thickBot="1">
      <c r="A46" s="269" t="str">
        <f>"Depth is"&amp;IF(G45&lt;=G44,IF(G47="O.K"," sufficient"," not sufficient, increase the depth")," not sufficient, increase the depth")</f>
        <v>Depth is sufficient</v>
      </c>
      <c r="B46" s="270"/>
      <c r="C46" s="270"/>
      <c r="D46" s="270"/>
      <c r="E46" s="270"/>
      <c r="F46" s="270"/>
      <c r="G46" s="211" t="str">
        <f>IF(G45&lt;=G44,"O.K","Not O.K")</f>
        <v>O.K</v>
      </c>
      <c r="H46" s="280" t="str">
        <f>IF(J45&gt;=J44, "O.K. No shear reinf. Required", "Increase the depth")</f>
        <v>O.K. No shear reinf. Required</v>
      </c>
      <c r="I46" s="270"/>
      <c r="J46" s="281"/>
    </row>
    <row r="47" spans="1:11">
      <c r="A47" s="236" t="s">
        <v>337</v>
      </c>
      <c r="B47" s="17"/>
      <c r="C47" s="208" t="s">
        <v>338</v>
      </c>
      <c r="D47" s="208"/>
      <c r="E47" s="24">
        <f>'Actual deflection'!E21</f>
        <v>0.30512062129180972</v>
      </c>
      <c r="F47" s="17" t="s">
        <v>61</v>
      </c>
      <c r="G47" s="295" t="str">
        <f>IF(E50&lt;=(Lx*1000/250),"O.K","Not O.K.")</f>
        <v>O.K</v>
      </c>
      <c r="H47" s="262" t="s">
        <v>331</v>
      </c>
      <c r="I47" s="263"/>
      <c r="J47" s="243" t="s">
        <v>389</v>
      </c>
    </row>
    <row r="48" spans="1:11">
      <c r="A48" s="284" t="s">
        <v>342</v>
      </c>
      <c r="B48" s="271"/>
      <c r="C48" s="268" t="s">
        <v>339</v>
      </c>
      <c r="D48" s="268"/>
      <c r="E48" s="24">
        <f>'Actual deflection'!B47</f>
        <v>0.34158849134410418</v>
      </c>
      <c r="F48" s="17" t="s">
        <v>61</v>
      </c>
      <c r="G48" s="296"/>
      <c r="H48" s="289" t="str">
        <f>IF(J47="Y","Cost in Rs.per sq.m", " ")</f>
        <v xml:space="preserve"> </v>
      </c>
      <c r="I48" s="268"/>
      <c r="J48" s="65" t="str">
        <f>IF(J47="Y",Costing!I22," ")</f>
        <v xml:space="preserve"> </v>
      </c>
      <c r="K48" s="99"/>
    </row>
    <row r="49" spans="1:10">
      <c r="A49" s="285" t="s">
        <v>343</v>
      </c>
      <c r="B49" s="287" t="str">
        <f>"L/ "&amp;CEILING((Lx*1000/E50),1)&amp;"mm"</f>
        <v>L/ 2627mm</v>
      </c>
      <c r="C49" s="268" t="s">
        <v>340</v>
      </c>
      <c r="D49" s="268"/>
      <c r="E49" s="24">
        <f>'Actual deflection'!E29</f>
        <v>0.49535929000361795</v>
      </c>
      <c r="F49" s="17" t="s">
        <v>61</v>
      </c>
      <c r="G49" s="297"/>
      <c r="H49" s="290" t="str">
        <f>IF(J47="Y","Reinf. Steel in Kg / Cu.m of concrete", " ")</f>
        <v xml:space="preserve"> </v>
      </c>
      <c r="I49" s="291"/>
      <c r="J49" s="260" t="str">
        <f>IF(J47="Y",Costing!J14,"  ")</f>
        <v xml:space="preserve">  </v>
      </c>
    </row>
    <row r="50" spans="1:10" ht="13.8" thickBot="1">
      <c r="A50" s="286"/>
      <c r="B50" s="288"/>
      <c r="C50" s="294" t="s">
        <v>341</v>
      </c>
      <c r="D50" s="294"/>
      <c r="E50" s="237">
        <f>SUM(E47:E49)</f>
        <v>1.1420684026395318</v>
      </c>
      <c r="F50" s="72" t="s">
        <v>61</v>
      </c>
      <c r="G50" s="248" t="str">
        <f>IF(E50&lt;(Lx*1000/250),"&lt;"&amp; Lx*1000/250&amp;" mm","&gt;"&amp; Lx*1000/250&amp;" mm")</f>
        <v>&lt;12 mm</v>
      </c>
      <c r="H50" s="292"/>
      <c r="I50" s="293"/>
      <c r="J50" s="261"/>
    </row>
    <row r="51" spans="1:10">
      <c r="A51" s="14"/>
      <c r="B51" s="14"/>
      <c r="C51" s="14"/>
      <c r="D51" s="14"/>
      <c r="E51" s="14"/>
      <c r="F51" s="14"/>
      <c r="G51" s="14"/>
      <c r="H51" s="14"/>
      <c r="I51" s="14"/>
      <c r="J51" s="14"/>
    </row>
    <row r="52" spans="1:10">
      <c r="A52" s="14"/>
      <c r="B52" s="14"/>
      <c r="C52" s="14"/>
      <c r="D52" s="14"/>
      <c r="E52" s="14"/>
      <c r="F52" s="14"/>
      <c r="G52" s="14"/>
      <c r="H52" s="14"/>
      <c r="I52" s="14"/>
      <c r="J52" s="14"/>
    </row>
    <row r="53" spans="1:10">
      <c r="A53" s="14"/>
      <c r="B53" s="14"/>
      <c r="C53" s="14"/>
      <c r="D53" s="14"/>
      <c r="E53" s="14"/>
      <c r="F53" s="14"/>
      <c r="G53" s="14"/>
      <c r="H53" s="14"/>
      <c r="I53" s="14"/>
      <c r="J53" s="14"/>
    </row>
    <row r="54" spans="1:10">
      <c r="A54" s="14"/>
      <c r="B54" s="14"/>
      <c r="C54" s="14"/>
      <c r="D54" s="14"/>
      <c r="E54" s="14"/>
      <c r="F54" s="14"/>
      <c r="G54" s="14"/>
      <c r="H54" s="14"/>
      <c r="I54" s="14"/>
      <c r="J54" s="14"/>
    </row>
  </sheetData>
  <customSheetViews>
    <customSheetView guid="{3E488D02-432F-45E5-90FE-5CD6FBA7363A}" scale="85" showPageBreaks="1" printArea="1" view="pageBreakPreview" topLeftCell="A5">
      <selection activeCell="D9" sqref="D9"/>
      <pageMargins left="0.92" right="0.31" top="0.68" bottom="1" header="0.5" footer="0.5"/>
      <pageSetup scale="85" orientation="portrait" horizontalDpi="4294967295" verticalDpi="300" r:id="rId1"/>
      <headerFooter alignWithMargins="0">
        <oddFooter>&amp;F</oddFooter>
      </headerFooter>
    </customSheetView>
    <customSheetView guid="{4C8449F4-FC56-4876-869E-F955C2C5C3AD}" scale="85" showPageBreaks="1" printArea="1" view="pageBreakPreview">
      <selection activeCell="L6" sqref="L6"/>
      <pageMargins left="0.92" right="0.31" top="0.68" bottom="1" header="0.5" footer="0.5"/>
      <pageSetup scale="85" orientation="portrait" horizontalDpi="4294967295" verticalDpi="300" r:id="rId2"/>
      <headerFooter alignWithMargins="0">
        <oddFooter>&amp;F</oddFooter>
      </headerFooter>
    </customSheetView>
    <customSheetView guid="{473AD2C1-50BF-11D4-AB98-94419A57BB4E}" scale="75" showPageBreaks="1" printArea="1" view="pageBreakPreview" showRuler="0" topLeftCell="A5">
      <selection activeCell="A43" sqref="A43:F43"/>
      <pageMargins left="0.38" right="0.41" top="0.75" bottom="1" header="0.5" footer="0.5"/>
      <pageSetup scale="98" orientation="portrait" horizontalDpi="4294967294" verticalDpi="0" r:id="rId3"/>
      <headerFooter alignWithMargins="0"/>
    </customSheetView>
    <customSheetView guid="{98368B2C-A6FC-4203-B15D-14B77BE18A81}" showPageBreaks="1" printArea="1" view="pageBreakPreview" topLeftCell="A13">
      <selection activeCell="G44" sqref="G44"/>
      <pageMargins left="0.92" right="0.31" top="0.68" bottom="1" header="0.5" footer="0.5"/>
      <pageSetup scale="85" orientation="portrait" horizontalDpi="4294967295" verticalDpi="300" r:id="rId4"/>
      <headerFooter alignWithMargins="0">
        <oddFooter>&amp;F</oddFooter>
      </headerFooter>
    </customSheetView>
    <customSheetView guid="{406DF1FF-9BFC-4168-AE00-7162E8A7C8EF}" showPageBreaks="1" printArea="1" view="pageBreakPreview" topLeftCell="A7">
      <selection activeCell="M42" sqref="M42"/>
      <pageMargins left="0.92" right="0.31" top="0.68" bottom="1" header="0.5" footer="0.5"/>
      <pageSetup scale="85" orientation="portrait" horizontalDpi="4294967295" verticalDpi="300" r:id="rId5"/>
      <headerFooter alignWithMargins="0">
        <oddFooter>&amp;F</oddFooter>
      </headerFooter>
    </customSheetView>
    <customSheetView guid="{8CD552DE-766B-42EA-A3A9-EF771D2E49CF}" scale="110" showPageBreaks="1" printArea="1" view="pageBreakPreview" topLeftCell="A19">
      <selection activeCell="D40" sqref="D40"/>
      <pageMargins left="0.92" right="0.31" top="0.68" bottom="1" header="0.5" footer="0.5"/>
      <pageSetup scale="85" orientation="portrait" horizontalDpi="4294967295" verticalDpi="300" r:id="rId6"/>
      <headerFooter alignWithMargins="0">
        <oddFooter>&amp;F</oddFooter>
      </headerFooter>
    </customSheetView>
    <customSheetView guid="{9CE232CD-A92E-403C-887B-19AF1B853CD5}" scale="85" showPageBreaks="1" printArea="1" view="pageBreakPreview" topLeftCell="A5">
      <selection activeCell="P12" sqref="P12"/>
      <pageMargins left="0.92" right="0.31" top="0.68" bottom="1" header="0.5" footer="0.5"/>
      <pageSetup scale="85" orientation="portrait" horizontalDpi="4294967295" verticalDpi="300" r:id="rId7"/>
      <headerFooter alignWithMargins="0">
        <oddFooter>&amp;F</oddFooter>
      </headerFooter>
    </customSheetView>
    <customSheetView guid="{6A6F7507-5F1B-4B90-A3F8-107D205DF2BA}" scale="85" showPageBreaks="1" printArea="1" view="pageBreakPreview" topLeftCell="A14">
      <selection activeCell="F41" sqref="F41"/>
      <pageMargins left="0.92" right="0.31" top="0.68" bottom="1" header="0.5" footer="0.5"/>
      <pageSetup scale="85" orientation="portrait" horizontalDpi="4294967295" verticalDpi="300" r:id="rId8"/>
      <headerFooter alignWithMargins="0">
        <oddFooter>&amp;F</oddFooter>
      </headerFooter>
    </customSheetView>
  </customSheetViews>
  <mergeCells count="75">
    <mergeCell ref="A16:C16"/>
    <mergeCell ref="A39:B39"/>
    <mergeCell ref="G40:J41"/>
    <mergeCell ref="C38:F38"/>
    <mergeCell ref="G19:J19"/>
    <mergeCell ref="A30:B30"/>
    <mergeCell ref="A33:B33"/>
    <mergeCell ref="A27:F27"/>
    <mergeCell ref="A37:B37"/>
    <mergeCell ref="A40:B40"/>
    <mergeCell ref="A38:B38"/>
    <mergeCell ref="A19:C19"/>
    <mergeCell ref="A32:F32"/>
    <mergeCell ref="A24:C24"/>
    <mergeCell ref="I24:J24"/>
    <mergeCell ref="B2:D2"/>
    <mergeCell ref="F1:J1"/>
    <mergeCell ref="I2:J2"/>
    <mergeCell ref="F2:G2"/>
    <mergeCell ref="F3:J3"/>
    <mergeCell ref="A6:E6"/>
    <mergeCell ref="A7:C7"/>
    <mergeCell ref="A8:C8"/>
    <mergeCell ref="G22:J22"/>
    <mergeCell ref="G23:H23"/>
    <mergeCell ref="A14:C14"/>
    <mergeCell ref="A18:E18"/>
    <mergeCell ref="G20:J20"/>
    <mergeCell ref="G6:J6"/>
    <mergeCell ref="G13:I13"/>
    <mergeCell ref="G15:G16"/>
    <mergeCell ref="I14:J14"/>
    <mergeCell ref="J15:J18"/>
    <mergeCell ref="G14:H14"/>
    <mergeCell ref="G17:G18"/>
    <mergeCell ref="A15:C15"/>
    <mergeCell ref="A4:J4"/>
    <mergeCell ref="G21:I21"/>
    <mergeCell ref="E28:F28"/>
    <mergeCell ref="C28:D28"/>
    <mergeCell ref="A22:C22"/>
    <mergeCell ref="A23:C23"/>
    <mergeCell ref="I25:J25"/>
    <mergeCell ref="A25:C25"/>
    <mergeCell ref="A26:J26"/>
    <mergeCell ref="A20:C20"/>
    <mergeCell ref="G27:J27"/>
    <mergeCell ref="A21:C21"/>
    <mergeCell ref="A13:E13"/>
    <mergeCell ref="A10:C10"/>
    <mergeCell ref="G25:H25"/>
    <mergeCell ref="I23:J23"/>
    <mergeCell ref="B49:B50"/>
    <mergeCell ref="H48:I48"/>
    <mergeCell ref="H49:I50"/>
    <mergeCell ref="C48:D48"/>
    <mergeCell ref="C49:D49"/>
    <mergeCell ref="C50:D50"/>
    <mergeCell ref="G47:G49"/>
    <mergeCell ref="J49:J50"/>
    <mergeCell ref="H47:I47"/>
    <mergeCell ref="H42:J42"/>
    <mergeCell ref="G24:H24"/>
    <mergeCell ref="A46:F46"/>
    <mergeCell ref="A45:F45"/>
    <mergeCell ref="A43:G43"/>
    <mergeCell ref="A34:B34"/>
    <mergeCell ref="C34:F34"/>
    <mergeCell ref="A36:B36"/>
    <mergeCell ref="G37:J37"/>
    <mergeCell ref="A42:G42"/>
    <mergeCell ref="H46:J46"/>
    <mergeCell ref="A41:B41"/>
    <mergeCell ref="A48:B48"/>
    <mergeCell ref="A49:A50"/>
  </mergeCells>
  <phoneticPr fontId="0" type="noConversion"/>
  <pageMargins left="0.92" right="0.31" top="0.68" bottom="1" header="0.5" footer="0.5"/>
  <pageSetup scale="85" orientation="portrait" horizontalDpi="4294967295" verticalDpi="300" r:id="rId9"/>
  <headerFooter alignWithMargins="0">
    <oddFooter>&amp;F</oddFooter>
  </headerFooter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7"/>
  <sheetViews>
    <sheetView view="pageBreakPreview" zoomScale="160" zoomScaleNormal="100" zoomScaleSheetLayoutView="160" workbookViewId="0">
      <selection activeCell="F6" sqref="F6"/>
    </sheetView>
  </sheetViews>
  <sheetFormatPr defaultRowHeight="13.2"/>
  <cols>
    <col min="5" max="5" width="11.88671875" customWidth="1"/>
    <col min="6" max="6" width="9.88671875" customWidth="1"/>
  </cols>
  <sheetData>
    <row r="1" spans="1:8">
      <c r="A1" s="369" t="s">
        <v>7</v>
      </c>
      <c r="B1" s="370"/>
      <c r="C1" s="370"/>
      <c r="D1" s="370"/>
      <c r="E1" s="370"/>
      <c r="F1" s="370"/>
      <c r="G1" s="370"/>
      <c r="H1" s="371"/>
    </row>
    <row r="2" spans="1:8">
      <c r="A2" s="107"/>
      <c r="B2" s="14"/>
      <c r="C2" s="14"/>
      <c r="D2" s="14"/>
      <c r="E2" s="14"/>
      <c r="F2" s="14"/>
      <c r="G2" s="14"/>
      <c r="H2" s="40"/>
    </row>
    <row r="3" spans="1:8">
      <c r="A3" s="107" t="s">
        <v>8</v>
      </c>
      <c r="B3" s="14"/>
      <c r="C3" s="14"/>
      <c r="D3" s="14"/>
      <c r="E3" s="14"/>
      <c r="F3" s="14"/>
      <c r="G3" s="14"/>
      <c r="H3" s="40"/>
    </row>
    <row r="4" spans="1:8">
      <c r="A4" s="107"/>
      <c r="B4" s="14"/>
      <c r="C4" s="14"/>
      <c r="D4" s="14"/>
      <c r="E4" s="14"/>
      <c r="F4" s="14"/>
      <c r="G4" s="14"/>
      <c r="H4" s="40"/>
    </row>
    <row r="5" spans="1:8" ht="26.4">
      <c r="A5" s="377" t="s">
        <v>9</v>
      </c>
      <c r="B5" s="378"/>
      <c r="C5" s="378"/>
      <c r="D5" s="378"/>
      <c r="E5" s="63" t="s">
        <v>347</v>
      </c>
      <c r="F5" s="63" t="s">
        <v>10</v>
      </c>
      <c r="G5" s="14"/>
      <c r="H5" s="40"/>
    </row>
    <row r="6" spans="1:8" ht="15.6">
      <c r="A6" s="373" t="s">
        <v>11</v>
      </c>
      <c r="B6" s="374"/>
      <c r="C6" s="374"/>
      <c r="D6" s="374"/>
      <c r="E6" s="61">
        <f>IF(F6&gt;0,F6,30)</f>
        <v>50</v>
      </c>
      <c r="F6" s="60">
        <v>50</v>
      </c>
      <c r="G6" s="14"/>
      <c r="H6" s="40"/>
    </row>
    <row r="7" spans="1:8" ht="15.6">
      <c r="A7" s="373" t="s">
        <v>90</v>
      </c>
      <c r="B7" s="374"/>
      <c r="C7" s="374"/>
      <c r="D7" s="374"/>
      <c r="E7" s="61">
        <f>IF(F7&gt;0,F7,415)</f>
        <v>500</v>
      </c>
      <c r="F7" s="60">
        <v>500</v>
      </c>
      <c r="G7" s="14"/>
      <c r="H7" s="40"/>
    </row>
    <row r="8" spans="1:8" ht="15.6">
      <c r="A8" s="373" t="s">
        <v>348</v>
      </c>
      <c r="B8" s="374"/>
      <c r="C8" s="374"/>
      <c r="D8" s="374"/>
      <c r="E8" s="62">
        <f>IF(F8&gt;0,F8,200000)</f>
        <v>200000</v>
      </c>
      <c r="F8" s="60"/>
      <c r="G8" s="14"/>
      <c r="H8" s="40"/>
    </row>
    <row r="9" spans="1:8" ht="15.6">
      <c r="A9" s="373" t="s">
        <v>349</v>
      </c>
      <c r="B9" s="374"/>
      <c r="C9" s="374"/>
      <c r="D9" s="374"/>
      <c r="E9" s="62">
        <f>IF(F9&gt;0,F9,5000*SQRT(fck))</f>
        <v>25000</v>
      </c>
      <c r="F9" s="60"/>
      <c r="G9" s="14"/>
      <c r="H9" s="40"/>
    </row>
    <row r="10" spans="1:8">
      <c r="A10" s="373" t="s">
        <v>12</v>
      </c>
      <c r="B10" s="374"/>
      <c r="C10" s="374"/>
      <c r="D10" s="374"/>
      <c r="E10" s="61">
        <f>IF(F10&gt;0,F10,20)</f>
        <v>25</v>
      </c>
      <c r="F10" s="60">
        <v>25</v>
      </c>
      <c r="G10" s="14"/>
      <c r="H10" s="40"/>
    </row>
    <row r="11" spans="1:8">
      <c r="A11" s="373" t="s">
        <v>350</v>
      </c>
      <c r="B11" s="374"/>
      <c r="C11" s="374"/>
      <c r="D11" s="374"/>
      <c r="E11" s="61">
        <f>IF(F11&gt;0,F11,25)</f>
        <v>25</v>
      </c>
      <c r="F11" s="60"/>
      <c r="G11" s="14"/>
      <c r="H11" s="40"/>
    </row>
    <row r="12" spans="1:8" ht="13.8" thickBot="1">
      <c r="A12" s="375" t="s">
        <v>351</v>
      </c>
      <c r="B12" s="376"/>
      <c r="C12" s="376"/>
      <c r="D12" s="376"/>
      <c r="E12" s="241">
        <f>Es/E9</f>
        <v>8</v>
      </c>
      <c r="F12" s="242"/>
      <c r="G12" s="220"/>
      <c r="H12" s="126"/>
    </row>
    <row r="13" spans="1:8">
      <c r="A13" s="372"/>
      <c r="B13" s="372"/>
      <c r="C13" s="372"/>
      <c r="D13" s="372"/>
      <c r="E13" s="1"/>
      <c r="F13" s="1"/>
    </row>
    <row r="14" spans="1:8">
      <c r="A14" s="372"/>
      <c r="B14" s="372"/>
      <c r="C14" s="372"/>
      <c r="D14" s="372"/>
      <c r="E14" s="1"/>
      <c r="F14" s="1"/>
    </row>
    <row r="15" spans="1:8">
      <c r="A15" s="372"/>
      <c r="B15" s="372"/>
      <c r="C15" s="372"/>
      <c r="D15" s="372"/>
      <c r="E15" s="1"/>
      <c r="F15" s="1"/>
    </row>
    <row r="16" spans="1:8">
      <c r="A16" s="372"/>
      <c r="B16" s="372"/>
      <c r="C16" s="372"/>
      <c r="D16" s="372"/>
      <c r="E16" s="1"/>
      <c r="F16" s="1"/>
    </row>
    <row r="17" spans="1:6">
      <c r="A17" s="372"/>
      <c r="B17" s="372"/>
      <c r="C17" s="372"/>
      <c r="D17" s="372"/>
      <c r="E17" s="1"/>
      <c r="F17" s="1"/>
    </row>
  </sheetData>
  <sheetProtection sheet="1" objects="1" scenarios="1"/>
  <customSheetViews>
    <customSheetView guid="{3E488D02-432F-45E5-90FE-5CD6FBA7363A}" scale="160" showPageBreaks="1" view="pageBreakPreview">
      <selection activeCell="F6" sqref="F6"/>
      <pageMargins left="0.75" right="0.75" top="1" bottom="1" header="0.5" footer="0.5"/>
      <pageSetup orientation="portrait" horizontalDpi="4294967294" r:id="rId1"/>
      <headerFooter alignWithMargins="0"/>
    </customSheetView>
    <customSheetView guid="{4C8449F4-FC56-4876-869E-F955C2C5C3AD}" scale="160" showPageBreaks="1" view="pageBreakPreview">
      <selection activeCell="F6" sqref="F6"/>
      <pageMargins left="0.75" right="0.75" top="1" bottom="1" header="0.5" footer="0.5"/>
      <pageSetup orientation="portrait" horizontalDpi="4294967294" r:id="rId2"/>
      <headerFooter alignWithMargins="0"/>
    </customSheetView>
    <customSheetView guid="{473AD2C1-50BF-11D4-AB98-94419A57BB4E}" showRuler="0">
      <selection activeCell="L10" sqref="L10"/>
      <pageMargins left="0.75" right="0.75" top="1" bottom="1" header="0.5" footer="0.5"/>
      <pageSetup orientation="portrait" horizontalDpi="4294967294" verticalDpi="0" r:id="rId3"/>
      <headerFooter alignWithMargins="0"/>
    </customSheetView>
    <customSheetView guid="{98368B2C-A6FC-4203-B15D-14B77BE18A81}">
      <selection activeCell="M26" sqref="M26"/>
      <pageMargins left="0.75" right="0.75" top="1" bottom="1" header="0.5" footer="0.5"/>
      <pageSetup orientation="portrait" horizontalDpi="4294967294" r:id="rId4"/>
      <headerFooter alignWithMargins="0"/>
    </customSheetView>
    <customSheetView guid="{406DF1FF-9BFC-4168-AE00-7162E8A7C8EF}">
      <selection activeCell="I21" sqref="I21"/>
      <pageMargins left="0.75" right="0.75" top="1" bottom="1" header="0.5" footer="0.5"/>
      <pageSetup orientation="portrait" horizontalDpi="4294967294" r:id="rId5"/>
      <headerFooter alignWithMargins="0"/>
    </customSheetView>
    <customSheetView guid="{8CD552DE-766B-42EA-A3A9-EF771D2E49CF}" scale="160" showPageBreaks="1" view="pageBreakPreview">
      <selection activeCell="E6" sqref="E6"/>
      <pageMargins left="0.75" right="0.75" top="1" bottom="1" header="0.5" footer="0.5"/>
      <pageSetup orientation="portrait" horizontalDpi="4294967294" r:id="rId6"/>
      <headerFooter alignWithMargins="0"/>
    </customSheetView>
    <customSheetView guid="{9CE232CD-A92E-403C-887B-19AF1B853CD5}" scale="160" showPageBreaks="1" view="pageBreakPreview">
      <selection activeCell="F6" sqref="F6"/>
      <pageMargins left="0.75" right="0.75" top="1" bottom="1" header="0.5" footer="0.5"/>
      <pageSetup orientation="portrait" horizontalDpi="4294967294" r:id="rId7"/>
      <headerFooter alignWithMargins="0"/>
    </customSheetView>
    <customSheetView guid="{6A6F7507-5F1B-4B90-A3F8-107D205DF2BA}" scale="160" showPageBreaks="1" view="pageBreakPreview">
      <selection activeCell="F6" sqref="F6"/>
      <pageMargins left="0.75" right="0.75" top="1" bottom="1" header="0.5" footer="0.5"/>
      <pageSetup orientation="portrait" horizontalDpi="4294967294" r:id="rId8"/>
      <headerFooter alignWithMargins="0"/>
    </customSheetView>
  </customSheetViews>
  <mergeCells count="14">
    <mergeCell ref="A1:H1"/>
    <mergeCell ref="A17:D17"/>
    <mergeCell ref="A13:D13"/>
    <mergeCell ref="A14:D14"/>
    <mergeCell ref="A15:D15"/>
    <mergeCell ref="A16:D16"/>
    <mergeCell ref="A9:D9"/>
    <mergeCell ref="A10:D10"/>
    <mergeCell ref="A11:D11"/>
    <mergeCell ref="A12:D12"/>
    <mergeCell ref="A5:D5"/>
    <mergeCell ref="A6:D6"/>
    <mergeCell ref="A7:D7"/>
    <mergeCell ref="A8:D8"/>
  </mergeCells>
  <phoneticPr fontId="0" type="noConversion"/>
  <pageMargins left="0.75" right="0.75" top="1" bottom="1" header="0.5" footer="0.5"/>
  <pageSetup orientation="portrait" horizontalDpi="4294967294" r:id="rId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/>
  <dimension ref="A1:K22"/>
  <sheetViews>
    <sheetView view="pageBreakPreview" zoomScale="172" zoomScaleNormal="100" zoomScaleSheetLayoutView="172" workbookViewId="0">
      <selection activeCell="C46" sqref="C46"/>
    </sheetView>
  </sheetViews>
  <sheetFormatPr defaultRowHeight="13.2"/>
  <cols>
    <col min="3" max="3" width="11" bestFit="1" customWidth="1"/>
    <col min="7" max="7" width="10.5546875" customWidth="1"/>
    <col min="9" max="9" width="11.109375" customWidth="1"/>
    <col min="13" max="13" width="1.109375" customWidth="1"/>
  </cols>
  <sheetData>
    <row r="1" spans="1:11" ht="13.8" thickBot="1">
      <c r="A1" s="383" t="s">
        <v>219</v>
      </c>
      <c r="B1" s="384"/>
      <c r="C1" s="384"/>
      <c r="D1" s="384"/>
      <c r="E1" s="384"/>
      <c r="F1" s="384"/>
      <c r="G1" s="384"/>
      <c r="H1" s="384"/>
      <c r="I1" s="384"/>
      <c r="J1" s="384"/>
      <c r="K1" s="385"/>
    </row>
    <row r="2" spans="1:11">
      <c r="A2" s="107"/>
      <c r="B2" s="14"/>
      <c r="C2" s="14"/>
      <c r="D2" s="14"/>
      <c r="E2" s="14"/>
      <c r="F2" s="14"/>
      <c r="G2" s="14"/>
      <c r="H2" s="14"/>
      <c r="I2" s="14"/>
      <c r="J2" s="14"/>
      <c r="K2" s="40"/>
    </row>
    <row r="3" spans="1:11" ht="15.6">
      <c r="A3" s="107" t="s">
        <v>220</v>
      </c>
      <c r="B3" s="14"/>
      <c r="C3" s="14"/>
      <c r="D3" s="16">
        <f>Lx*Ly*T/1000</f>
        <v>1.8</v>
      </c>
      <c r="E3" s="14" t="s">
        <v>221</v>
      </c>
      <c r="F3" s="14"/>
      <c r="G3" s="14"/>
      <c r="H3" s="14"/>
      <c r="I3" s="14"/>
      <c r="J3" s="14"/>
      <c r="K3" s="40"/>
    </row>
    <row r="4" spans="1:11">
      <c r="A4" s="386" t="s">
        <v>306</v>
      </c>
      <c r="B4" s="387"/>
      <c r="C4" s="387"/>
      <c r="D4" s="16">
        <f>Ly*Lx</f>
        <v>12</v>
      </c>
      <c r="E4" s="14" t="s">
        <v>228</v>
      </c>
      <c r="F4" s="14"/>
      <c r="G4" s="14"/>
      <c r="H4" s="14"/>
      <c r="I4" s="14"/>
      <c r="J4" s="14"/>
      <c r="K4" s="40"/>
    </row>
    <row r="5" spans="1:11" ht="13.8" thickBot="1">
      <c r="A5" s="107" t="s">
        <v>307</v>
      </c>
      <c r="B5" s="14"/>
      <c r="C5" s="14"/>
      <c r="D5" s="14"/>
      <c r="E5" s="14"/>
      <c r="F5" s="14"/>
      <c r="G5" s="14"/>
      <c r="H5" s="14"/>
      <c r="I5" s="14"/>
      <c r="J5" s="14"/>
      <c r="K5" s="40"/>
    </row>
    <row r="6" spans="1:11">
      <c r="A6" s="216"/>
      <c r="B6" s="217"/>
      <c r="C6" s="217"/>
      <c r="D6" s="388" t="s">
        <v>83</v>
      </c>
      <c r="E6" s="388"/>
      <c r="F6" s="388"/>
      <c r="G6" s="388" t="s">
        <v>82</v>
      </c>
      <c r="H6" s="388"/>
      <c r="I6" s="217"/>
      <c r="J6" s="379" t="s">
        <v>327</v>
      </c>
      <c r="K6" s="40"/>
    </row>
    <row r="7" spans="1:11">
      <c r="A7" s="54"/>
      <c r="B7" s="17"/>
      <c r="C7" s="17"/>
      <c r="D7" s="17" t="s">
        <v>84</v>
      </c>
      <c r="E7" s="17" t="s">
        <v>85</v>
      </c>
      <c r="F7" s="17" t="s">
        <v>309</v>
      </c>
      <c r="G7" s="17" t="s">
        <v>86</v>
      </c>
      <c r="H7" s="17" t="s">
        <v>85</v>
      </c>
      <c r="I7" s="17" t="s">
        <v>309</v>
      </c>
      <c r="J7" s="380"/>
      <c r="K7" s="40"/>
    </row>
    <row r="8" spans="1:11">
      <c r="A8" s="267" t="s">
        <v>241</v>
      </c>
      <c r="B8" s="268"/>
      <c r="C8" s="268"/>
      <c r="D8" s="18">
        <f>'Design of Slab'!C36</f>
        <v>10</v>
      </c>
      <c r="E8" s="18">
        <f>'Design of Slab'!D36</f>
        <v>10</v>
      </c>
      <c r="F8" s="18">
        <v>8</v>
      </c>
      <c r="G8" s="18">
        <f>'Design of Slab'!E36</f>
        <v>10</v>
      </c>
      <c r="H8" s="18">
        <f>'Design of Slab'!F36</f>
        <v>10</v>
      </c>
      <c r="I8" s="18">
        <v>8</v>
      </c>
      <c r="J8" s="380"/>
      <c r="K8" s="40"/>
    </row>
    <row r="9" spans="1:11">
      <c r="A9" s="267" t="s">
        <v>242</v>
      </c>
      <c r="B9" s="268"/>
      <c r="C9" s="268"/>
      <c r="D9" s="18">
        <f>'Design of Slab'!C40</f>
        <v>175</v>
      </c>
      <c r="E9" s="18">
        <f>'Design of Slab'!D40</f>
        <v>175</v>
      </c>
      <c r="F9" s="18">
        <f>MIN(5*d,250)</f>
        <v>250</v>
      </c>
      <c r="G9" s="18">
        <f>'Design of Slab'!E40</f>
        <v>175</v>
      </c>
      <c r="H9" s="18">
        <f>'Design of Slab'!F40</f>
        <v>175</v>
      </c>
      <c r="I9" s="18">
        <f>MIN(5*d,250)</f>
        <v>250</v>
      </c>
      <c r="J9" s="380"/>
      <c r="K9" s="40"/>
    </row>
    <row r="10" spans="1:11">
      <c r="A10" s="267" t="s">
        <v>308</v>
      </c>
      <c r="B10" s="268"/>
      <c r="C10" s="268"/>
      <c r="D10" s="18">
        <f>Lx</f>
        <v>3</v>
      </c>
      <c r="E10" s="101">
        <f>Lx/3</f>
        <v>1</v>
      </c>
      <c r="F10" s="101">
        <f>Ly</f>
        <v>4</v>
      </c>
      <c r="G10" s="18">
        <f>Ly</f>
        <v>4</v>
      </c>
      <c r="H10" s="18">
        <f>Ly/3</f>
        <v>1.3333333333333333</v>
      </c>
      <c r="I10" s="18">
        <f>Lx</f>
        <v>3</v>
      </c>
      <c r="J10" s="380"/>
      <c r="K10" s="40"/>
    </row>
    <row r="11" spans="1:11">
      <c r="A11" s="267" t="s">
        <v>310</v>
      </c>
      <c r="B11" s="268"/>
      <c r="C11" s="268"/>
      <c r="D11" s="18">
        <f>CEILING(Ly*1000/D9,1)</f>
        <v>23</v>
      </c>
      <c r="E11" s="18">
        <f>CEILING(Ly*1000/E9,1)*2</f>
        <v>46</v>
      </c>
      <c r="F11" s="18">
        <f>(CEILING(E10*1000/F9,1))*2</f>
        <v>8</v>
      </c>
      <c r="G11" s="18">
        <f>CEILING(Lx*1000/G9,1)</f>
        <v>18</v>
      </c>
      <c r="H11" s="18">
        <f>2*CEILING(Lx*1000/H9,1)</f>
        <v>36</v>
      </c>
      <c r="I11" s="18">
        <f>2*CEILING(H10*1000/I9,1)</f>
        <v>12</v>
      </c>
      <c r="J11" s="380"/>
      <c r="K11" s="40"/>
    </row>
    <row r="12" spans="1:11">
      <c r="A12" s="267" t="s">
        <v>329</v>
      </c>
      <c r="B12" s="268"/>
      <c r="C12" s="268"/>
      <c r="D12" s="210">
        <f t="shared" ref="D12:I12" si="0">PI()/4*D8^2*1000*7.85*0.000001</f>
        <v>0.61653755826699697</v>
      </c>
      <c r="E12" s="210">
        <f t="shared" si="0"/>
        <v>0.61653755826699697</v>
      </c>
      <c r="F12" s="210">
        <f t="shared" si="0"/>
        <v>0.39458403729087793</v>
      </c>
      <c r="G12" s="210">
        <f t="shared" si="0"/>
        <v>0.61653755826699697</v>
      </c>
      <c r="H12" s="210">
        <f t="shared" si="0"/>
        <v>0.61653755826699697</v>
      </c>
      <c r="I12" s="210">
        <f t="shared" si="0"/>
        <v>0.39458403729087793</v>
      </c>
      <c r="J12" s="380"/>
      <c r="K12" s="40"/>
    </row>
    <row r="13" spans="1:11">
      <c r="A13" s="267" t="s">
        <v>330</v>
      </c>
      <c r="B13" s="268"/>
      <c r="C13" s="268"/>
      <c r="D13" s="101">
        <f t="shared" ref="D13:I13" si="1">D10*D11*D12</f>
        <v>42.541091520422789</v>
      </c>
      <c r="E13" s="101">
        <f t="shared" si="1"/>
        <v>28.360727680281862</v>
      </c>
      <c r="F13" s="101">
        <f t="shared" si="1"/>
        <v>12.626689193308094</v>
      </c>
      <c r="G13" s="101">
        <f t="shared" si="1"/>
        <v>44.390704195223783</v>
      </c>
      <c r="H13" s="101">
        <f t="shared" si="1"/>
        <v>29.593802796815854</v>
      </c>
      <c r="I13" s="101">
        <f t="shared" si="1"/>
        <v>14.205025342471606</v>
      </c>
      <c r="J13" s="218">
        <f>SUM(D13:I13)</f>
        <v>171.71804072852399</v>
      </c>
      <c r="K13" s="40" t="s">
        <v>311</v>
      </c>
    </row>
    <row r="14" spans="1:11" ht="13.8" thickBot="1">
      <c r="A14" s="381" t="s">
        <v>328</v>
      </c>
      <c r="B14" s="382"/>
      <c r="C14" s="382"/>
      <c r="D14" s="382"/>
      <c r="E14" s="382"/>
      <c r="F14" s="382"/>
      <c r="G14" s="382"/>
      <c r="H14" s="382"/>
      <c r="I14" s="382"/>
      <c r="J14" s="221">
        <f>J13/D3</f>
        <v>95.398911515846663</v>
      </c>
      <c r="K14" s="40" t="s">
        <v>312</v>
      </c>
    </row>
    <row r="15" spans="1:11" ht="13.8" thickBot="1">
      <c r="A15" s="107"/>
      <c r="B15" s="14"/>
      <c r="C15" s="14"/>
      <c r="D15" s="14"/>
      <c r="E15" s="14"/>
      <c r="F15" s="14"/>
      <c r="G15" s="14"/>
      <c r="H15" s="14"/>
      <c r="I15" s="14"/>
      <c r="J15" s="14"/>
      <c r="K15" s="40"/>
    </row>
    <row r="16" spans="1:11">
      <c r="A16" s="392" t="s">
        <v>313</v>
      </c>
      <c r="B16" s="393"/>
      <c r="C16" s="393"/>
      <c r="D16" s="393"/>
      <c r="E16" s="393"/>
      <c r="F16" s="393"/>
      <c r="G16" s="393"/>
      <c r="H16" s="393"/>
      <c r="I16" s="394"/>
      <c r="J16" s="14"/>
      <c r="K16" s="40"/>
    </row>
    <row r="17" spans="1:11">
      <c r="A17" s="54" t="s">
        <v>314</v>
      </c>
      <c r="B17" s="271" t="s">
        <v>315</v>
      </c>
      <c r="C17" s="271"/>
      <c r="D17" s="271"/>
      <c r="E17" s="17" t="s">
        <v>316</v>
      </c>
      <c r="F17" s="17" t="s">
        <v>317</v>
      </c>
      <c r="G17" s="17" t="s">
        <v>319</v>
      </c>
      <c r="H17" s="17" t="s">
        <v>318</v>
      </c>
      <c r="I17" s="64" t="s">
        <v>325</v>
      </c>
      <c r="J17" s="14"/>
      <c r="K17" s="40"/>
    </row>
    <row r="18" spans="1:11">
      <c r="A18" s="209">
        <v>1</v>
      </c>
      <c r="B18" s="268" t="s">
        <v>320</v>
      </c>
      <c r="C18" s="268"/>
      <c r="D18" s="268"/>
      <c r="E18" s="17" t="s">
        <v>322</v>
      </c>
      <c r="F18" s="17">
        <f>D3</f>
        <v>1.8</v>
      </c>
      <c r="G18" s="74">
        <v>3000</v>
      </c>
      <c r="H18" s="12"/>
      <c r="I18" s="65">
        <f>IF(H18&gt;0,F18*H18,F18*G18)</f>
        <v>5400</v>
      </c>
      <c r="J18" s="14"/>
      <c r="K18" s="40"/>
    </row>
    <row r="19" spans="1:11">
      <c r="A19" s="209">
        <v>2</v>
      </c>
      <c r="B19" s="268" t="s">
        <v>305</v>
      </c>
      <c r="C19" s="268"/>
      <c r="D19" s="268"/>
      <c r="E19" s="17" t="s">
        <v>323</v>
      </c>
      <c r="F19" s="17">
        <f>D4</f>
        <v>12</v>
      </c>
      <c r="G19" s="74">
        <v>150</v>
      </c>
      <c r="H19" s="12"/>
      <c r="I19" s="65">
        <f>IF(H19&gt;0,F19*H19,F19*G19)</f>
        <v>1800</v>
      </c>
      <c r="J19" s="14"/>
      <c r="K19" s="40"/>
    </row>
    <row r="20" spans="1:11">
      <c r="A20" s="209">
        <v>3</v>
      </c>
      <c r="B20" s="268" t="s">
        <v>321</v>
      </c>
      <c r="C20" s="268"/>
      <c r="D20" s="268"/>
      <c r="E20" s="17" t="s">
        <v>311</v>
      </c>
      <c r="F20" s="74">
        <f>J13</f>
        <v>171.71804072852399</v>
      </c>
      <c r="G20" s="74">
        <v>35</v>
      </c>
      <c r="H20" s="12"/>
      <c r="I20" s="65">
        <f>IF(H20&gt;0,F20*H20,F20*G20)</f>
        <v>6010.1314254983399</v>
      </c>
      <c r="J20" s="14"/>
      <c r="K20" s="40"/>
    </row>
    <row r="21" spans="1:11">
      <c r="A21" s="391" t="s">
        <v>324</v>
      </c>
      <c r="B21" s="304"/>
      <c r="C21" s="304"/>
      <c r="D21" s="304"/>
      <c r="E21" s="304"/>
      <c r="F21" s="304"/>
      <c r="G21" s="304"/>
      <c r="H21" s="304"/>
      <c r="I21" s="65">
        <f>SUM(I18:I20)</f>
        <v>13210.131425498341</v>
      </c>
      <c r="J21" s="14"/>
      <c r="K21" s="40"/>
    </row>
    <row r="22" spans="1:11" ht="13.8" thickBot="1">
      <c r="A22" s="389" t="s">
        <v>326</v>
      </c>
      <c r="B22" s="390"/>
      <c r="C22" s="390"/>
      <c r="D22" s="390"/>
      <c r="E22" s="390"/>
      <c r="F22" s="390"/>
      <c r="G22" s="390"/>
      <c r="H22" s="390"/>
      <c r="I22" s="219">
        <f>I21/(Ly*Lx)</f>
        <v>1100.8442854581951</v>
      </c>
      <c r="J22" s="220"/>
      <c r="K22" s="126"/>
    </row>
  </sheetData>
  <sheetProtection sheet="1" objects="1" scenarios="1"/>
  <customSheetViews>
    <customSheetView guid="{3E488D02-432F-45E5-90FE-5CD6FBA7363A}" scale="172" showPageBreaks="1" view="pageBreakPreview">
      <selection activeCell="C46" sqref="C46"/>
      <pageMargins left="0.75" right="0.75" top="1" bottom="1" header="0.5" footer="0.5"/>
      <pageSetup orientation="portrait" horizontalDpi="4294967295" r:id="rId1"/>
      <headerFooter alignWithMargins="0"/>
    </customSheetView>
    <customSheetView guid="{4C8449F4-FC56-4876-869E-F955C2C5C3AD}" scale="172" showPageBreaks="1" view="pageBreakPreview">
      <selection activeCell="C46" sqref="C46"/>
      <pageMargins left="0.75" right="0.75" top="1" bottom="1" header="0.5" footer="0.5"/>
      <pageSetup orientation="portrait" horizontalDpi="4294967295" r:id="rId2"/>
      <headerFooter alignWithMargins="0"/>
    </customSheetView>
    <customSheetView guid="{473AD2C1-50BF-11D4-AB98-94419A57BB4E}" showRuler="0">
      <pageMargins left="0.75" right="0.75" top="1" bottom="1" header="0.5" footer="0.5"/>
      <headerFooter alignWithMargins="0"/>
    </customSheetView>
    <customSheetView guid="{98368B2C-A6FC-4203-B15D-14B77BE18A81}">
      <selection activeCell="C46" sqref="C46"/>
      <pageMargins left="0.75" right="0.75" top="1" bottom="1" header="0.5" footer="0.5"/>
      <pageSetup orientation="portrait" horizontalDpi="4294967295" r:id="rId3"/>
      <headerFooter alignWithMargins="0"/>
    </customSheetView>
    <customSheetView guid="{406DF1FF-9BFC-4168-AE00-7162E8A7C8EF}">
      <selection activeCell="C46" sqref="C46"/>
      <pageMargins left="0.75" right="0.75" top="1" bottom="1" header="0.5" footer="0.5"/>
      <pageSetup orientation="portrait" horizontalDpi="4294967295" r:id="rId4"/>
      <headerFooter alignWithMargins="0"/>
    </customSheetView>
    <customSheetView guid="{8CD552DE-766B-42EA-A3A9-EF771D2E49CF}" scale="172" showPageBreaks="1" view="pageBreakPreview">
      <selection activeCell="C46" sqref="C46"/>
      <pageMargins left="0.75" right="0.75" top="1" bottom="1" header="0.5" footer="0.5"/>
      <pageSetup orientation="portrait" horizontalDpi="4294967295" r:id="rId5"/>
      <headerFooter alignWithMargins="0"/>
    </customSheetView>
    <customSheetView guid="{9CE232CD-A92E-403C-887B-19AF1B853CD5}" scale="172" showPageBreaks="1" view="pageBreakPreview">
      <selection activeCell="C46" sqref="C46"/>
      <pageMargins left="0.75" right="0.75" top="1" bottom="1" header="0.5" footer="0.5"/>
      <pageSetup orientation="portrait" horizontalDpi="4294967295" r:id="rId6"/>
      <headerFooter alignWithMargins="0"/>
    </customSheetView>
    <customSheetView guid="{6A6F7507-5F1B-4B90-A3F8-107D205DF2BA}" scale="172" showPageBreaks="1" view="pageBreakPreview">
      <selection activeCell="C46" sqref="C46"/>
      <pageMargins left="0.75" right="0.75" top="1" bottom="1" header="0.5" footer="0.5"/>
      <pageSetup orientation="portrait" horizontalDpi="4294967295" r:id="rId7"/>
      <headerFooter alignWithMargins="0"/>
    </customSheetView>
  </customSheetViews>
  <mergeCells count="19">
    <mergeCell ref="A22:H22"/>
    <mergeCell ref="B19:D19"/>
    <mergeCell ref="B20:D20"/>
    <mergeCell ref="A21:H21"/>
    <mergeCell ref="A12:C12"/>
    <mergeCell ref="A13:C13"/>
    <mergeCell ref="A16:I16"/>
    <mergeCell ref="B17:D17"/>
    <mergeCell ref="J6:J12"/>
    <mergeCell ref="A14:I14"/>
    <mergeCell ref="A1:K1"/>
    <mergeCell ref="B18:D18"/>
    <mergeCell ref="A4:C4"/>
    <mergeCell ref="G6:H6"/>
    <mergeCell ref="A8:C8"/>
    <mergeCell ref="A9:C9"/>
    <mergeCell ref="A10:C10"/>
    <mergeCell ref="D6:F6"/>
    <mergeCell ref="A11:C11"/>
  </mergeCells>
  <phoneticPr fontId="0" type="noConversion"/>
  <pageMargins left="0.75" right="0.75" top="1" bottom="1" header="0.5" footer="0.5"/>
  <pageSetup orientation="portrait" horizontalDpi="4294967295" r:id="rId8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N30"/>
  <sheetViews>
    <sheetView view="pageBreakPreview" zoomScale="115" zoomScaleNormal="100" zoomScaleSheetLayoutView="115" workbookViewId="0">
      <selection activeCell="L17" sqref="L17"/>
    </sheetView>
  </sheetViews>
  <sheetFormatPr defaultRowHeight="13.2"/>
  <cols>
    <col min="2" max="2" width="30.6640625" customWidth="1"/>
  </cols>
  <sheetData>
    <row r="1" spans="1:14">
      <c r="A1" s="14"/>
      <c r="B1" s="37" t="s">
        <v>37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>
      <c r="A2" s="14"/>
      <c r="B2" s="399" t="s">
        <v>38</v>
      </c>
      <c r="C2" s="399"/>
      <c r="D2" s="399"/>
      <c r="E2" s="399"/>
      <c r="F2" s="399"/>
      <c r="G2" s="57"/>
      <c r="H2" s="57"/>
      <c r="I2" s="18" t="s">
        <v>39</v>
      </c>
      <c r="J2" s="14"/>
      <c r="K2" s="14"/>
      <c r="L2" s="14"/>
      <c r="M2" s="14"/>
      <c r="N2" s="14"/>
    </row>
    <row r="3" spans="1:14">
      <c r="A3" s="14"/>
      <c r="B3" s="57"/>
      <c r="C3" s="58">
        <f>'Design of Slab'!I15</f>
        <v>1</v>
      </c>
      <c r="D3" s="58">
        <f>'Design of Slab'!I16</f>
        <v>1</v>
      </c>
      <c r="E3" s="58">
        <f>'Design of Slab'!I17</f>
        <v>2</v>
      </c>
      <c r="F3" s="58">
        <f>'Design of Slab'!I18</f>
        <v>2</v>
      </c>
      <c r="G3" s="58">
        <f>'Design of Slab'!I15*1000+'Design of Slab'!I16*100+'Design of Slab'!I17*10+'Design of Slab'!I18</f>
        <v>1122</v>
      </c>
      <c r="H3" s="58">
        <f>C3*1000+D3*100+E3*10+F3</f>
        <v>1122</v>
      </c>
      <c r="I3" s="18">
        <f>G3-H3</f>
        <v>0</v>
      </c>
      <c r="J3" s="14"/>
      <c r="K3" s="14"/>
      <c r="L3" s="14"/>
      <c r="M3" s="14"/>
      <c r="N3" s="14"/>
    </row>
    <row r="4" spans="1:14">
      <c r="A4" s="14"/>
      <c r="B4" s="14"/>
      <c r="C4" s="14"/>
      <c r="D4" s="14"/>
      <c r="E4" s="14"/>
      <c r="F4" s="14"/>
      <c r="G4" s="14"/>
      <c r="H4" s="14"/>
      <c r="I4" s="14"/>
      <c r="J4" s="14"/>
      <c r="K4" s="14" t="s">
        <v>13</v>
      </c>
      <c r="L4" s="14"/>
      <c r="M4" s="14"/>
      <c r="N4" s="14"/>
    </row>
    <row r="5" spans="1:14">
      <c r="A5" s="17"/>
      <c r="B5" s="17"/>
      <c r="C5" s="271" t="s">
        <v>21</v>
      </c>
      <c r="D5" s="271"/>
      <c r="E5" s="271" t="s">
        <v>22</v>
      </c>
      <c r="F5" s="271"/>
      <c r="G5" s="395" t="s">
        <v>23</v>
      </c>
      <c r="H5" s="17"/>
      <c r="I5" s="14"/>
      <c r="J5" s="14"/>
      <c r="K5" s="14"/>
      <c r="L5" s="14"/>
      <c r="M5" s="14"/>
      <c r="N5" s="14"/>
    </row>
    <row r="6" spans="1:14">
      <c r="A6" s="17"/>
      <c r="B6" s="17"/>
      <c r="C6" s="17" t="s">
        <v>16</v>
      </c>
      <c r="D6" s="17" t="s">
        <v>17</v>
      </c>
      <c r="E6" s="17" t="s">
        <v>18</v>
      </c>
      <c r="F6" s="17" t="s">
        <v>19</v>
      </c>
      <c r="G6" s="395"/>
      <c r="H6" s="17"/>
      <c r="I6" s="14"/>
      <c r="J6" s="14"/>
      <c r="K6" s="14"/>
      <c r="L6" s="14"/>
      <c r="M6" s="14"/>
      <c r="N6" s="14"/>
    </row>
    <row r="7" spans="1:14">
      <c r="A7" s="17" t="s">
        <v>0</v>
      </c>
      <c r="B7" s="17" t="s">
        <v>25</v>
      </c>
      <c r="C7" s="17">
        <v>2</v>
      </c>
      <c r="D7" s="17">
        <v>2</v>
      </c>
      <c r="E7" s="17">
        <v>2</v>
      </c>
      <c r="F7" s="17">
        <v>2</v>
      </c>
      <c r="G7" s="21">
        <f>C7*1000+D7*100+E7*10+F7</f>
        <v>2222</v>
      </c>
      <c r="H7" s="17" t="str">
        <f>IF($G$3=G7,A7," ")</f>
        <v xml:space="preserve"> </v>
      </c>
      <c r="I7" s="14"/>
      <c r="J7" s="14"/>
      <c r="K7" s="14"/>
      <c r="L7" s="14"/>
      <c r="M7" s="14"/>
      <c r="N7" s="14"/>
    </row>
    <row r="8" spans="1:14">
      <c r="A8" s="17" t="s">
        <v>1</v>
      </c>
      <c r="B8" s="17" t="s">
        <v>26</v>
      </c>
      <c r="C8" s="17">
        <v>1</v>
      </c>
      <c r="D8" s="17">
        <v>1</v>
      </c>
      <c r="E8" s="17">
        <v>1</v>
      </c>
      <c r="F8" s="17">
        <v>1</v>
      </c>
      <c r="G8" s="21">
        <f t="shared" ref="G8:G16" si="0">C8*1000+D8*100+E8*10+F8</f>
        <v>1111</v>
      </c>
      <c r="H8" s="17" t="str">
        <f>IF($G$3=G8,A8," ")</f>
        <v xml:space="preserve"> </v>
      </c>
      <c r="I8" s="14"/>
      <c r="J8" s="14"/>
      <c r="K8" s="14"/>
      <c r="L8" s="14"/>
      <c r="M8" s="14" t="s">
        <v>14</v>
      </c>
      <c r="N8" s="14"/>
    </row>
    <row r="9" spans="1:14">
      <c r="A9" s="17" t="s">
        <v>2</v>
      </c>
      <c r="B9" s="17" t="s">
        <v>27</v>
      </c>
      <c r="C9" s="17">
        <v>2</v>
      </c>
      <c r="D9" s="17">
        <v>2</v>
      </c>
      <c r="E9" s="17">
        <v>1</v>
      </c>
      <c r="F9" s="17">
        <v>1</v>
      </c>
      <c r="G9" s="21">
        <f t="shared" si="0"/>
        <v>2211</v>
      </c>
      <c r="H9" s="17" t="str">
        <f>IF($G$3=G9,A9," ")</f>
        <v xml:space="preserve"> </v>
      </c>
      <c r="I9" s="14"/>
      <c r="J9" s="14"/>
      <c r="K9" s="14"/>
      <c r="L9" s="14"/>
      <c r="M9" s="14"/>
      <c r="N9" s="14"/>
    </row>
    <row r="10" spans="1:14">
      <c r="A10" s="17" t="s">
        <v>3</v>
      </c>
      <c r="B10" s="17" t="s">
        <v>28</v>
      </c>
      <c r="C10" s="17">
        <v>1</v>
      </c>
      <c r="D10" s="17">
        <v>1</v>
      </c>
      <c r="E10" s="17">
        <v>2</v>
      </c>
      <c r="F10" s="17">
        <v>2</v>
      </c>
      <c r="G10" s="21">
        <f t="shared" si="0"/>
        <v>1122</v>
      </c>
      <c r="H10" s="17" t="str">
        <f>IF($G$3=G10,A10," ")</f>
        <v>Cond-4</v>
      </c>
      <c r="I10" s="14"/>
      <c r="J10" s="14"/>
      <c r="K10" s="14"/>
      <c r="L10" s="14"/>
      <c r="M10" s="14"/>
      <c r="N10" s="14"/>
    </row>
    <row r="11" spans="1:14">
      <c r="A11" s="378" t="s">
        <v>4</v>
      </c>
      <c r="B11" s="378" t="s">
        <v>29</v>
      </c>
      <c r="C11" s="17">
        <v>2</v>
      </c>
      <c r="D11" s="17">
        <v>1</v>
      </c>
      <c r="E11" s="17">
        <v>1</v>
      </c>
      <c r="F11" s="17">
        <v>2</v>
      </c>
      <c r="G11" s="21">
        <f t="shared" si="0"/>
        <v>2112</v>
      </c>
      <c r="H11" s="271" t="str">
        <f>IF($G$3=G11,A11,IF($G$3=G12,A11,IF($G$3=G13,A11,IF($G$3=G14,A11," "))))</f>
        <v xml:space="preserve"> </v>
      </c>
      <c r="I11" s="14"/>
      <c r="J11" s="14"/>
      <c r="K11" s="14"/>
      <c r="L11" s="14"/>
      <c r="M11" s="14"/>
      <c r="N11" s="14"/>
    </row>
    <row r="12" spans="1:14">
      <c r="A12" s="378"/>
      <c r="B12" s="378"/>
      <c r="C12" s="17">
        <v>2</v>
      </c>
      <c r="D12" s="17">
        <v>1</v>
      </c>
      <c r="E12" s="17">
        <v>2</v>
      </c>
      <c r="F12" s="17">
        <v>1</v>
      </c>
      <c r="G12" s="21">
        <f t="shared" si="0"/>
        <v>2121</v>
      </c>
      <c r="H12" s="271"/>
      <c r="I12" s="14"/>
      <c r="J12" s="14"/>
      <c r="K12" s="17"/>
      <c r="L12" s="17" t="s">
        <v>15</v>
      </c>
      <c r="M12" s="17"/>
      <c r="N12" s="14"/>
    </row>
    <row r="13" spans="1:14">
      <c r="A13" s="378"/>
      <c r="B13" s="378"/>
      <c r="C13" s="17">
        <v>1</v>
      </c>
      <c r="D13" s="17">
        <v>2</v>
      </c>
      <c r="E13" s="17">
        <v>1</v>
      </c>
      <c r="F13" s="17">
        <v>2</v>
      </c>
      <c r="G13" s="21">
        <f t="shared" si="0"/>
        <v>1212</v>
      </c>
      <c r="H13" s="271"/>
      <c r="I13" s="14"/>
      <c r="J13" s="14"/>
      <c r="K13" s="17" t="s">
        <v>16</v>
      </c>
      <c r="L13" s="18">
        <f>C3</f>
        <v>1</v>
      </c>
      <c r="M13" s="396" t="s">
        <v>20</v>
      </c>
      <c r="N13" s="14"/>
    </row>
    <row r="14" spans="1:14">
      <c r="A14" s="378"/>
      <c r="B14" s="378"/>
      <c r="C14" s="17">
        <v>1</v>
      </c>
      <c r="D14" s="17">
        <v>2</v>
      </c>
      <c r="E14" s="17">
        <v>2</v>
      </c>
      <c r="F14" s="17">
        <v>1</v>
      </c>
      <c r="G14" s="21">
        <f t="shared" si="0"/>
        <v>1221</v>
      </c>
      <c r="H14" s="271"/>
      <c r="I14" s="14"/>
      <c r="J14" s="14"/>
      <c r="K14" s="17" t="s">
        <v>17</v>
      </c>
      <c r="L14" s="18">
        <f>D3</f>
        <v>1</v>
      </c>
      <c r="M14" s="396"/>
      <c r="N14" s="14"/>
    </row>
    <row r="15" spans="1:14">
      <c r="A15" s="378" t="s">
        <v>5</v>
      </c>
      <c r="B15" s="378" t="s">
        <v>30</v>
      </c>
      <c r="C15" s="17">
        <v>2</v>
      </c>
      <c r="D15" s="17">
        <v>1</v>
      </c>
      <c r="E15" s="17">
        <v>1</v>
      </c>
      <c r="F15" s="17">
        <v>1</v>
      </c>
      <c r="G15" s="21">
        <f t="shared" si="0"/>
        <v>2111</v>
      </c>
      <c r="H15" s="271" t="str">
        <f>IF($G$3=G15,A15,IF($G$3=G16,A15," "))</f>
        <v xml:space="preserve"> </v>
      </c>
      <c r="I15" s="14"/>
      <c r="J15" s="14"/>
      <c r="K15" s="17" t="s">
        <v>18</v>
      </c>
      <c r="L15" s="18">
        <f>E3</f>
        <v>2</v>
      </c>
      <c r="M15" s="396"/>
      <c r="N15" s="14"/>
    </row>
    <row r="16" spans="1:14">
      <c r="A16" s="378"/>
      <c r="B16" s="378"/>
      <c r="C16" s="17">
        <v>1</v>
      </c>
      <c r="D16" s="17">
        <v>2</v>
      </c>
      <c r="E16" s="17">
        <v>1</v>
      </c>
      <c r="F16" s="17">
        <v>1</v>
      </c>
      <c r="G16" s="21">
        <f t="shared" si="0"/>
        <v>1211</v>
      </c>
      <c r="H16" s="271"/>
      <c r="I16" s="14"/>
      <c r="J16" s="14"/>
      <c r="K16" s="17" t="s">
        <v>19</v>
      </c>
      <c r="L16" s="18">
        <f>F3</f>
        <v>2</v>
      </c>
      <c r="M16" s="396"/>
      <c r="N16" s="14"/>
    </row>
    <row r="17" spans="1:14">
      <c r="A17" s="378" t="s">
        <v>24</v>
      </c>
      <c r="B17" s="378" t="s">
        <v>32</v>
      </c>
      <c r="C17" s="17">
        <v>1</v>
      </c>
      <c r="D17" s="17">
        <v>1</v>
      </c>
      <c r="E17" s="17">
        <v>2</v>
      </c>
      <c r="F17" s="17">
        <v>1</v>
      </c>
      <c r="G17" s="21">
        <f>C17*1000+D17*100+E17*10+F17</f>
        <v>1121</v>
      </c>
      <c r="H17" s="271" t="str">
        <f>IF($G$3=G17,A17,IF($G$3=G18,A17," "))</f>
        <v xml:space="preserve"> </v>
      </c>
      <c r="I17" s="14"/>
      <c r="J17" s="14"/>
      <c r="K17" s="17"/>
      <c r="L17" s="17">
        <f>L13*1000+L14*100+L15*10+L16</f>
        <v>1122</v>
      </c>
      <c r="M17" s="17"/>
      <c r="N17" s="14"/>
    </row>
    <row r="18" spans="1:14">
      <c r="A18" s="378"/>
      <c r="B18" s="378"/>
      <c r="C18" s="17">
        <v>1</v>
      </c>
      <c r="D18" s="17">
        <v>1</v>
      </c>
      <c r="E18" s="17">
        <v>1</v>
      </c>
      <c r="F18" s="17">
        <v>2</v>
      </c>
      <c r="G18" s="21">
        <f>C18*1000+D18*100+E18*10+F18</f>
        <v>1112</v>
      </c>
      <c r="H18" s="271"/>
      <c r="I18" s="14"/>
      <c r="J18" s="14"/>
      <c r="K18" s="14"/>
      <c r="L18" s="14"/>
      <c r="M18" s="14"/>
      <c r="N18" s="14"/>
    </row>
    <row r="19" spans="1:14">
      <c r="A19" s="14"/>
      <c r="B19" s="397" t="s">
        <v>36</v>
      </c>
      <c r="C19" s="397"/>
      <c r="D19" s="397"/>
      <c r="E19" s="397"/>
      <c r="F19" s="397"/>
      <c r="G19" s="397"/>
      <c r="H19" s="17" t="str">
        <f>IF(H7&lt;&gt;" ",H7,IF(H8&lt;&gt;" ",H8,IF(H9&lt;&gt;" ",H9,IF(H10&lt;&gt;" ",H10,IF(H11&lt;&gt;" ",H11,IF(H15&lt;&gt;" ",H15,IF(H17&lt;&gt;" ",H17," ")))))))</f>
        <v>Cond-4</v>
      </c>
      <c r="I19" s="14"/>
      <c r="J19" s="14"/>
      <c r="K19" s="14"/>
      <c r="L19" s="14"/>
      <c r="M19" s="14"/>
      <c r="N19" s="14"/>
    </row>
    <row r="20" spans="1:14">
      <c r="A20" s="14"/>
      <c r="B20" s="398"/>
      <c r="C20" s="398"/>
      <c r="D20" s="398"/>
      <c r="E20" s="398"/>
      <c r="F20" s="398"/>
      <c r="G20" s="398"/>
      <c r="H20" s="14" t="str">
        <f>IF($H$19=A7,B7,IF($H$19=A8,B8,IF($H$19=A9,B9,IF($H$19=A10,B10,IF($H$19=A11,B11,IF($H$19=A15,B15,IF($H$19=A17,B17," ")))))))</f>
        <v>Two short edges discontinuous</v>
      </c>
      <c r="I20" s="14"/>
      <c r="J20" s="14"/>
      <c r="K20" s="14"/>
      <c r="L20" s="14"/>
      <c r="M20" s="14"/>
      <c r="N20" s="14"/>
    </row>
    <row r="21" spans="1:14">
      <c r="A21" s="378" t="s">
        <v>31</v>
      </c>
      <c r="B21" s="378" t="s">
        <v>33</v>
      </c>
      <c r="C21" s="17">
        <v>2</v>
      </c>
      <c r="D21" s="17">
        <v>2</v>
      </c>
      <c r="E21" s="17">
        <v>2</v>
      </c>
      <c r="F21" s="17">
        <v>1</v>
      </c>
      <c r="G21" s="21">
        <f>C21*1000+D21*100+E21*10+F21</f>
        <v>2221</v>
      </c>
      <c r="H21" s="271" t="str">
        <f>IF($G$3=G21,A21,IF($G$3=G22,A21," "))</f>
        <v xml:space="preserve"> </v>
      </c>
      <c r="I21" s="14"/>
      <c r="J21" s="14"/>
      <c r="K21" s="14"/>
      <c r="L21" s="14"/>
      <c r="M21" s="14"/>
      <c r="N21" s="14"/>
    </row>
    <row r="22" spans="1:14">
      <c r="A22" s="378"/>
      <c r="B22" s="378"/>
      <c r="C22" s="17">
        <v>2</v>
      </c>
      <c r="D22" s="17">
        <v>2</v>
      </c>
      <c r="E22" s="17">
        <v>1</v>
      </c>
      <c r="F22" s="17">
        <v>2</v>
      </c>
      <c r="G22" s="21">
        <f>C22*1000+D22*100+E22*10+F22</f>
        <v>2212</v>
      </c>
      <c r="H22" s="271"/>
      <c r="I22" s="14"/>
      <c r="J22" s="14"/>
      <c r="K22" s="14"/>
      <c r="L22" s="14"/>
      <c r="M22" s="14"/>
      <c r="N22" s="14"/>
    </row>
    <row r="23" spans="1:14">
      <c r="A23" s="378" t="s">
        <v>34</v>
      </c>
      <c r="B23" s="378" t="s">
        <v>35</v>
      </c>
      <c r="C23" s="17">
        <v>1</v>
      </c>
      <c r="D23" s="17">
        <v>2</v>
      </c>
      <c r="E23" s="17">
        <v>2</v>
      </c>
      <c r="F23" s="17">
        <v>2</v>
      </c>
      <c r="G23" s="21">
        <f>C23*1000+D23*100+E23*10+F23</f>
        <v>1222</v>
      </c>
      <c r="H23" s="271" t="str">
        <f>IF($G$3=G23,A23,IF($G$3=G24,A23," "))</f>
        <v xml:space="preserve"> </v>
      </c>
      <c r="I23" s="14"/>
      <c r="J23" s="14"/>
      <c r="K23" s="14"/>
      <c r="L23" s="14"/>
      <c r="M23" s="14"/>
      <c r="N23" s="14"/>
    </row>
    <row r="24" spans="1:14">
      <c r="A24" s="378"/>
      <c r="B24" s="378"/>
      <c r="C24" s="17">
        <v>2</v>
      </c>
      <c r="D24" s="17">
        <v>1</v>
      </c>
      <c r="E24" s="17">
        <v>2</v>
      </c>
      <c r="F24" s="17">
        <v>2</v>
      </c>
      <c r="G24" s="21">
        <f>C24*1000+D24*100+E24*10+F24</f>
        <v>2122</v>
      </c>
      <c r="H24" s="271"/>
      <c r="I24" s="14"/>
      <c r="J24" s="14"/>
      <c r="K24" s="14"/>
      <c r="L24" s="14"/>
      <c r="M24" s="14"/>
      <c r="N24" s="14"/>
    </row>
    <row r="25" spans="1:14">
      <c r="A25" s="14"/>
      <c r="B25" s="14"/>
      <c r="C25" s="14"/>
      <c r="D25" s="14"/>
      <c r="E25" s="14"/>
      <c r="F25" s="14"/>
      <c r="G25" s="14"/>
      <c r="H25" s="17" t="str">
        <f>IF(H19&lt;&gt;" ",H19,IF(H21&lt;&gt;" ",H21,IF(H23&lt;&gt;" ",H23)))</f>
        <v>Cond-4</v>
      </c>
      <c r="I25" s="14"/>
      <c r="J25" s="14"/>
      <c r="K25" s="14"/>
      <c r="L25" s="14"/>
      <c r="M25" s="14"/>
      <c r="N25" s="14"/>
    </row>
    <row r="26" spans="1:14">
      <c r="A26" s="14"/>
      <c r="B26" s="14"/>
      <c r="C26" s="14"/>
      <c r="D26" s="14"/>
      <c r="E26" s="14"/>
      <c r="F26" s="14"/>
      <c r="G26" s="14"/>
      <c r="H26" s="387" t="str">
        <f>IF($H$25=H19,H20,IF($H$25=A21,B21,IF($H$25=A23,B23)))</f>
        <v>Two short edges discontinuous</v>
      </c>
      <c r="I26" s="387"/>
      <c r="J26" s="387"/>
      <c r="K26" s="14"/>
      <c r="L26" s="14"/>
      <c r="M26" s="14"/>
      <c r="N26" s="14"/>
    </row>
    <row r="28" spans="1:14" ht="13.8" thickBot="1"/>
    <row r="29" spans="1:14">
      <c r="D29" s="3"/>
      <c r="E29" s="4"/>
    </row>
    <row r="30" spans="1:14" ht="13.8" thickBot="1">
      <c r="D30" s="5"/>
      <c r="E30" s="6"/>
    </row>
  </sheetData>
  <sheetProtection sheet="1" objects="1" scenarios="1"/>
  <customSheetViews>
    <customSheetView guid="{3E488D02-432F-45E5-90FE-5CD6FBA7363A}" scale="115" showPageBreaks="1" view="pageBreakPreview">
      <selection activeCell="L17" sqref="L17"/>
      <pageMargins left="0.75" right="0.75" top="1" bottom="1" header="0.5" footer="0.5"/>
      <pageSetup orientation="portrait" horizontalDpi="4294967294" r:id="rId1"/>
      <headerFooter alignWithMargins="0"/>
    </customSheetView>
    <customSheetView guid="{4C8449F4-FC56-4876-869E-F955C2C5C3AD}" scale="115" showPageBreaks="1" view="pageBreakPreview">
      <selection activeCell="L17" sqref="L17"/>
      <pageMargins left="0.75" right="0.75" top="1" bottom="1" header="0.5" footer="0.5"/>
      <pageSetup orientation="portrait" horizontalDpi="4294967294" r:id="rId2"/>
      <headerFooter alignWithMargins="0"/>
    </customSheetView>
    <customSheetView guid="{473AD2C1-50BF-11D4-AB98-94419A57BB4E}" state="hidden" showRuler="0">
      <selection activeCell="G7" sqref="G7"/>
      <pageMargins left="0.75" right="0.75" top="1" bottom="1" header="0.5" footer="0.5"/>
      <pageSetup orientation="portrait" horizontalDpi="4294967294" verticalDpi="0" r:id="rId3"/>
      <headerFooter alignWithMargins="0"/>
    </customSheetView>
    <customSheetView guid="{98368B2C-A6FC-4203-B15D-14B77BE18A81}">
      <selection activeCell="E9" sqref="E9"/>
      <pageMargins left="0.75" right="0.75" top="1" bottom="1" header="0.5" footer="0.5"/>
      <pageSetup orientation="portrait" horizontalDpi="4294967294" r:id="rId4"/>
      <headerFooter alignWithMargins="0"/>
    </customSheetView>
    <customSheetView guid="{406DF1FF-9BFC-4168-AE00-7162E8A7C8EF}">
      <selection activeCell="E9" sqref="E9"/>
      <pageMargins left="0.75" right="0.75" top="1" bottom="1" header="0.5" footer="0.5"/>
      <pageSetup orientation="portrait" horizontalDpi="4294967294" r:id="rId5"/>
      <headerFooter alignWithMargins="0"/>
    </customSheetView>
    <customSheetView guid="{8CD552DE-766B-42EA-A3A9-EF771D2E49CF}" scale="80" showPageBreaks="1" view="pageBreakPreview">
      <selection activeCell="E9" sqref="E9"/>
      <pageMargins left="0.75" right="0.75" top="1" bottom="1" header="0.5" footer="0.5"/>
      <pageSetup orientation="portrait" horizontalDpi="4294967294" r:id="rId6"/>
      <headerFooter alignWithMargins="0"/>
    </customSheetView>
    <customSheetView guid="{9CE232CD-A92E-403C-887B-19AF1B853CD5}" scale="115" showPageBreaks="1" view="pageBreakPreview">
      <selection activeCell="L17" sqref="L17"/>
      <pageMargins left="0.75" right="0.75" top="1" bottom="1" header="0.5" footer="0.5"/>
      <pageSetup orientation="portrait" horizontalDpi="4294967294" r:id="rId7"/>
      <headerFooter alignWithMargins="0"/>
    </customSheetView>
    <customSheetView guid="{6A6F7507-5F1B-4B90-A3F8-107D205DF2BA}" scale="115" showPageBreaks="1" view="pageBreakPreview">
      <selection activeCell="L17" sqref="L17"/>
      <pageMargins left="0.75" right="0.75" top="1" bottom="1" header="0.5" footer="0.5"/>
      <pageSetup orientation="portrait" horizontalDpi="4294967294" r:id="rId8"/>
      <headerFooter alignWithMargins="0"/>
    </customSheetView>
  </customSheetViews>
  <mergeCells count="22">
    <mergeCell ref="B2:F2"/>
    <mergeCell ref="A21:A22"/>
    <mergeCell ref="B21:B22"/>
    <mergeCell ref="A17:A18"/>
    <mergeCell ref="B17:B18"/>
    <mergeCell ref="B11:B14"/>
    <mergeCell ref="A11:A14"/>
    <mergeCell ref="B15:B16"/>
    <mergeCell ref="A15:A16"/>
    <mergeCell ref="C5:D5"/>
    <mergeCell ref="E5:F5"/>
    <mergeCell ref="M13:M16"/>
    <mergeCell ref="A23:A24"/>
    <mergeCell ref="B23:B24"/>
    <mergeCell ref="H23:H24"/>
    <mergeCell ref="B19:G20"/>
    <mergeCell ref="G5:G6"/>
    <mergeCell ref="H11:H14"/>
    <mergeCell ref="H15:H16"/>
    <mergeCell ref="H21:H22"/>
    <mergeCell ref="H26:J26"/>
    <mergeCell ref="H17:H18"/>
  </mergeCells>
  <phoneticPr fontId="0" type="noConversion"/>
  <pageMargins left="0.75" right="0.75" top="1" bottom="1" header="0.5" footer="0.5"/>
  <pageSetup orientation="portrait" horizontalDpi="4294967294" r:id="rId9"/>
  <headerFooter alignWithMargins="0"/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E11"/>
  <sheetViews>
    <sheetView view="pageBreakPreview" zoomScale="142" zoomScaleNormal="100" zoomScaleSheetLayoutView="142" workbookViewId="0">
      <selection activeCell="E11" sqref="E11"/>
    </sheetView>
  </sheetViews>
  <sheetFormatPr defaultRowHeight="13.2"/>
  <sheetData>
    <row r="3" spans="2:5">
      <c r="B3" s="400" t="s">
        <v>381</v>
      </c>
      <c r="C3" s="400"/>
      <c r="D3" t="str">
        <f>IF('Design of Slab'!J44&lt;='Design of Slab'!J45,"O.K")</f>
        <v>O.K</v>
      </c>
      <c r="E3">
        <f>IF(D3="O.K",0,1)</f>
        <v>0</v>
      </c>
    </row>
    <row r="4" spans="2:5">
      <c r="B4" s="400" t="s">
        <v>382</v>
      </c>
      <c r="C4" s="400"/>
      <c r="D4" t="str">
        <f>IF(Mul&gt;=Mumax,"O.K")</f>
        <v>O.K</v>
      </c>
      <c r="E4">
        <f t="shared" ref="E4:E10" si="0">IF(D4="O.K",0,1)</f>
        <v>0</v>
      </c>
    </row>
    <row r="5" spans="2:5">
      <c r="B5" s="400" t="s">
        <v>383</v>
      </c>
      <c r="C5" s="400"/>
      <c r="D5" t="str">
        <f>IF('Design of Slab'!C41="O.K","O.K")</f>
        <v>O.K</v>
      </c>
      <c r="E5">
        <f t="shared" si="0"/>
        <v>0</v>
      </c>
    </row>
    <row r="6" spans="2:5">
      <c r="B6" s="400" t="s">
        <v>384</v>
      </c>
      <c r="C6" s="400"/>
      <c r="D6" t="str">
        <f>IF('Design of Slab'!D41="O.K","O.K")</f>
        <v>O.K</v>
      </c>
      <c r="E6">
        <f t="shared" si="0"/>
        <v>0</v>
      </c>
    </row>
    <row r="7" spans="2:5">
      <c r="B7" s="400" t="s">
        <v>385</v>
      </c>
      <c r="C7" s="400"/>
      <c r="D7" t="str">
        <f>IF('Design of Slab'!E41="O.K","O.K")</f>
        <v>O.K</v>
      </c>
      <c r="E7">
        <f t="shared" si="0"/>
        <v>0</v>
      </c>
    </row>
    <row r="8" spans="2:5">
      <c r="B8" s="400" t="s">
        <v>386</v>
      </c>
      <c r="C8" s="400"/>
      <c r="D8" t="str">
        <f>IF('Design of Slab'!F41="O.K","O.K")</f>
        <v>O.K</v>
      </c>
      <c r="E8">
        <f t="shared" si="0"/>
        <v>0</v>
      </c>
    </row>
    <row r="9" spans="2:5">
      <c r="B9" s="400" t="s">
        <v>387</v>
      </c>
      <c r="C9" s="400"/>
      <c r="D9" t="str">
        <f>IF('Design of Slab'!G46="O.K","O.K")</f>
        <v>O.K</v>
      </c>
      <c r="E9">
        <f t="shared" si="0"/>
        <v>0</v>
      </c>
    </row>
    <row r="10" spans="2:5">
      <c r="B10" s="400" t="s">
        <v>388</v>
      </c>
      <c r="C10" s="400"/>
      <c r="D10" t="str">
        <f>IF('Design of Slab'!G47="O.K","O.K")</f>
        <v>O.K</v>
      </c>
      <c r="E10">
        <f t="shared" si="0"/>
        <v>0</v>
      </c>
    </row>
    <row r="11" spans="2:5">
      <c r="E11">
        <f>SUM(E3:E10)</f>
        <v>0</v>
      </c>
    </row>
  </sheetData>
  <customSheetViews>
    <customSheetView guid="{3E488D02-432F-45E5-90FE-5CD6FBA7363A}" scale="142" showPageBreaks="1" view="pageBreakPreview">
      <selection activeCell="E11" sqref="E11"/>
      <pageMargins left="0.75" right="0.75" top="1" bottom="1" header="0.5" footer="0.5"/>
      <pageSetup paperSize="9" orientation="portrait" r:id="rId1"/>
      <headerFooter alignWithMargins="0"/>
    </customSheetView>
    <customSheetView guid="{4C8449F4-FC56-4876-869E-F955C2C5C3AD}" scale="142" showPageBreaks="1" view="pageBreakPreview">
      <selection activeCell="E11" sqref="E11"/>
      <pageMargins left="0.75" right="0.75" top="1" bottom="1" header="0.5" footer="0.5"/>
      <pageSetup paperSize="9" orientation="portrait" r:id="rId2"/>
      <headerFooter alignWithMargins="0"/>
    </customSheetView>
    <customSheetView guid="{98368B2C-A6FC-4203-B15D-14B77BE18A81}">
      <selection activeCell="E11" sqref="E11"/>
      <pageMargins left="0.75" right="0.75" top="1" bottom="1" header="0.5" footer="0.5"/>
      <headerFooter alignWithMargins="0"/>
    </customSheetView>
    <customSheetView guid="{406DF1FF-9BFC-4168-AE00-7162E8A7C8EF}">
      <selection activeCell="E11" sqref="E11"/>
      <pageMargins left="0.75" right="0.75" top="1" bottom="1" header="0.5" footer="0.5"/>
      <headerFooter alignWithMargins="0"/>
    </customSheetView>
    <customSheetView guid="{8CD552DE-766B-42EA-A3A9-EF771D2E49CF}" scale="142" showPageBreaks="1" view="pageBreakPreview">
      <selection activeCell="E11" sqref="E11"/>
      <pageMargins left="0.75" right="0.75" top="1" bottom="1" header="0.5" footer="0.5"/>
      <pageSetup paperSize="9" orientation="portrait" r:id="rId3"/>
      <headerFooter alignWithMargins="0"/>
    </customSheetView>
    <customSheetView guid="{9CE232CD-A92E-403C-887B-19AF1B853CD5}" scale="142" showPageBreaks="1" view="pageBreakPreview">
      <selection activeCell="E11" sqref="E11"/>
      <pageMargins left="0.75" right="0.75" top="1" bottom="1" header="0.5" footer="0.5"/>
      <pageSetup paperSize="9" orientation="portrait" r:id="rId4"/>
      <headerFooter alignWithMargins="0"/>
    </customSheetView>
    <customSheetView guid="{6A6F7507-5F1B-4B90-A3F8-107D205DF2BA}" scale="142" showPageBreaks="1" view="pageBreakPreview">
      <selection activeCell="E11" sqref="E11"/>
      <pageMargins left="0.75" right="0.75" top="1" bottom="1" header="0.5" footer="0.5"/>
      <pageSetup paperSize="9" orientation="portrait" r:id="rId5"/>
      <headerFooter alignWithMargins="0"/>
    </customSheetView>
  </customSheetViews>
  <mergeCells count="8">
    <mergeCell ref="B9:C9"/>
    <mergeCell ref="B10:C10"/>
    <mergeCell ref="B3:C3"/>
    <mergeCell ref="B4:C4"/>
    <mergeCell ref="B5:C5"/>
    <mergeCell ref="B6:C6"/>
    <mergeCell ref="B7:C7"/>
    <mergeCell ref="B8:C8"/>
  </mergeCells>
  <phoneticPr fontId="38" type="noConversion"/>
  <pageMargins left="0.75" right="0.75" top="1" bottom="1" header="0.5" footer="0.5"/>
  <pageSetup paperSize="9" orientation="portrait" r:id="rId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Y33"/>
  <sheetViews>
    <sheetView view="pageBreakPreview" zoomScale="142" zoomScaleNormal="100" zoomScaleSheetLayoutView="142" workbookViewId="0">
      <selection activeCell="H16" sqref="H16"/>
    </sheetView>
  </sheetViews>
  <sheetFormatPr defaultRowHeight="13.2"/>
  <cols>
    <col min="11" max="11" width="2.88671875" customWidth="1"/>
  </cols>
  <sheetData>
    <row r="1" spans="1:25" ht="14.4" thickBot="1">
      <c r="A1" s="410" t="s">
        <v>222</v>
      </c>
      <c r="B1" s="411"/>
      <c r="C1" s="411"/>
      <c r="D1" s="411"/>
      <c r="E1" s="411"/>
      <c r="F1" s="411"/>
      <c r="G1" s="411"/>
      <c r="H1" s="411"/>
      <c r="I1" s="411"/>
      <c r="J1" s="411"/>
      <c r="K1" s="412"/>
    </row>
    <row r="2" spans="1:25">
      <c r="A2" s="413" t="s">
        <v>133</v>
      </c>
      <c r="B2" s="414"/>
      <c r="C2" s="414"/>
      <c r="D2" s="53">
        <f>d</f>
        <v>120</v>
      </c>
      <c r="E2" s="53" t="s">
        <v>61</v>
      </c>
      <c r="F2" s="14"/>
      <c r="G2" s="14"/>
      <c r="H2" s="14"/>
      <c r="I2" s="14"/>
      <c r="J2" s="14"/>
      <c r="K2" s="40"/>
    </row>
    <row r="3" spans="1:25">
      <c r="A3" s="267" t="s">
        <v>223</v>
      </c>
      <c r="B3" s="268"/>
      <c r="C3" s="268"/>
      <c r="D3" s="17">
        <f>Ly</f>
        <v>4</v>
      </c>
      <c r="E3" s="17" t="s">
        <v>60</v>
      </c>
      <c r="F3" s="14"/>
      <c r="G3" s="14"/>
      <c r="H3" s="14"/>
      <c r="I3" s="14">
        <f>Ly</f>
        <v>4</v>
      </c>
      <c r="J3" s="14" t="s">
        <v>60</v>
      </c>
      <c r="K3" s="40"/>
    </row>
    <row r="4" spans="1:25">
      <c r="A4" s="267" t="s">
        <v>224</v>
      </c>
      <c r="B4" s="268"/>
      <c r="C4" s="268"/>
      <c r="D4" s="17">
        <f>+Lx</f>
        <v>3</v>
      </c>
      <c r="E4" s="17" t="s">
        <v>60</v>
      </c>
      <c r="F4" s="14"/>
      <c r="G4" s="14"/>
      <c r="H4" s="14"/>
      <c r="I4" s="14"/>
      <c r="J4" s="14"/>
      <c r="K4" s="40"/>
    </row>
    <row r="5" spans="1:25">
      <c r="A5" s="267" t="s">
        <v>225</v>
      </c>
      <c r="B5" s="268"/>
      <c r="C5" s="268"/>
      <c r="D5" s="74">
        <f>Wult</f>
        <v>24.974999999999998</v>
      </c>
      <c r="E5" s="17" t="s">
        <v>226</v>
      </c>
      <c r="F5" s="14"/>
      <c r="G5" s="14"/>
      <c r="H5" s="14"/>
      <c r="I5" s="14"/>
      <c r="J5" s="14"/>
      <c r="K5" s="40">
        <f>Lx</f>
        <v>3</v>
      </c>
      <c r="L5" t="s">
        <v>60</v>
      </c>
    </row>
    <row r="6" spans="1:25">
      <c r="A6" s="107"/>
      <c r="B6" s="14"/>
      <c r="C6" s="14"/>
      <c r="D6" s="14"/>
      <c r="E6" s="14"/>
      <c r="F6" s="14"/>
      <c r="G6" s="15" t="s">
        <v>229</v>
      </c>
      <c r="H6" s="103">
        <f>1/2*Lx*Lx/2</f>
        <v>2.25</v>
      </c>
      <c r="I6" s="14"/>
      <c r="J6" s="14"/>
      <c r="K6" s="40"/>
    </row>
    <row r="7" spans="1:25">
      <c r="A7" s="108" t="s">
        <v>230</v>
      </c>
      <c r="B7" s="109"/>
      <c r="C7" s="109"/>
      <c r="D7" s="109"/>
      <c r="E7" s="110"/>
      <c r="F7" s="14"/>
      <c r="G7" s="111"/>
      <c r="H7" s="111"/>
      <c r="I7" s="111"/>
      <c r="J7" s="111"/>
      <c r="K7" s="40"/>
    </row>
    <row r="8" spans="1:25" ht="15.6">
      <c r="A8" s="107" t="s">
        <v>231</v>
      </c>
      <c r="B8" s="14"/>
      <c r="C8" s="14"/>
      <c r="D8" s="14">
        <f>I9*Wult</f>
        <v>93.656249999999986</v>
      </c>
      <c r="E8" s="112" t="s">
        <v>232</v>
      </c>
      <c r="F8" s="14"/>
      <c r="G8" s="111"/>
      <c r="H8" s="111"/>
      <c r="I8" s="111"/>
      <c r="J8" s="111"/>
      <c r="K8" s="40"/>
      <c r="M8" s="83"/>
      <c r="N8" s="84"/>
      <c r="O8" s="85"/>
      <c r="P8" s="83" t="str">
        <f>IF(K8&gt;Q3,"&gt;","&lt;")</f>
        <v>&lt;</v>
      </c>
      <c r="Q8" s="406">
        <f>Q3</f>
        <v>0</v>
      </c>
      <c r="R8" s="407"/>
      <c r="S8" s="83" t="s">
        <v>65</v>
      </c>
      <c r="T8" s="82"/>
      <c r="U8" s="82"/>
      <c r="V8" s="82"/>
      <c r="W8" s="87" t="s">
        <v>183</v>
      </c>
      <c r="X8" s="82"/>
      <c r="Y8" s="82"/>
    </row>
    <row r="9" spans="1:25">
      <c r="A9" s="113" t="s">
        <v>233</v>
      </c>
      <c r="B9" s="114"/>
      <c r="C9" s="114"/>
      <c r="D9" s="114">
        <f>D8/Ly</f>
        <v>23.414062499999996</v>
      </c>
      <c r="E9" s="115" t="s">
        <v>234</v>
      </c>
      <c r="F9" s="14"/>
      <c r="G9" s="116"/>
      <c r="H9" s="116" t="s">
        <v>227</v>
      </c>
      <c r="I9" s="116">
        <f>(2*Ly*Lx-Lx^2)/4</f>
        <v>3.75</v>
      </c>
      <c r="J9" s="14" t="s">
        <v>228</v>
      </c>
      <c r="K9" s="40"/>
    </row>
    <row r="10" spans="1:25" ht="13.8" thickBot="1">
      <c r="A10" s="107"/>
      <c r="B10" s="14"/>
      <c r="C10" s="14"/>
      <c r="D10" s="14"/>
      <c r="E10" s="14"/>
      <c r="F10" s="14"/>
      <c r="G10" s="14"/>
      <c r="H10" s="14"/>
      <c r="I10" s="14"/>
      <c r="J10" s="14"/>
      <c r="K10" s="40"/>
    </row>
    <row r="11" spans="1:25">
      <c r="A11" s="108" t="s">
        <v>235</v>
      </c>
      <c r="B11" s="109"/>
      <c r="C11" s="109"/>
      <c r="D11" s="109"/>
      <c r="E11" s="109"/>
      <c r="F11" s="408" t="s">
        <v>237</v>
      </c>
      <c r="G11" s="409"/>
      <c r="H11" s="409"/>
      <c r="I11" s="117">
        <f>MAX(D9,D13)</f>
        <v>23.414062499999996</v>
      </c>
      <c r="J11" s="118" t="s">
        <v>232</v>
      </c>
      <c r="K11" s="40"/>
    </row>
    <row r="12" spans="1:25">
      <c r="A12" s="386" t="s">
        <v>236</v>
      </c>
      <c r="B12" s="387"/>
      <c r="C12" s="387"/>
      <c r="D12" s="14">
        <f>H6*Wult</f>
        <v>56.193749999999994</v>
      </c>
      <c r="E12" s="14" t="s">
        <v>232</v>
      </c>
      <c r="F12" s="395"/>
      <c r="G12" s="343"/>
      <c r="H12" s="37"/>
      <c r="I12" s="37"/>
      <c r="J12" s="71"/>
      <c r="K12" s="40"/>
    </row>
    <row r="13" spans="1:25" ht="16.2" thickBot="1">
      <c r="A13" s="113" t="s">
        <v>233</v>
      </c>
      <c r="B13" s="114"/>
      <c r="C13" s="114"/>
      <c r="D13" s="119">
        <f>D12/Lx</f>
        <v>18.731249999999999</v>
      </c>
      <c r="E13" s="114" t="s">
        <v>234</v>
      </c>
      <c r="F13" s="120" t="s">
        <v>238</v>
      </c>
      <c r="G13" s="121"/>
      <c r="H13" s="121"/>
      <c r="I13" s="122">
        <f>I11*1000/(deff_2*1000)</f>
        <v>0.21285511363636361</v>
      </c>
      <c r="J13" s="123" t="s">
        <v>239</v>
      </c>
      <c r="K13" s="40"/>
    </row>
    <row r="14" spans="1:25">
      <c r="A14" s="107"/>
      <c r="B14" s="14"/>
      <c r="C14" s="14"/>
      <c r="D14" s="14"/>
      <c r="E14" s="14"/>
      <c r="F14" s="14"/>
      <c r="G14" s="14"/>
      <c r="H14" s="14"/>
      <c r="I14" s="14"/>
      <c r="J14" s="14"/>
      <c r="K14" s="40"/>
    </row>
    <row r="15" spans="1:25">
      <c r="A15" s="124" t="s">
        <v>240</v>
      </c>
      <c r="B15" s="14"/>
      <c r="C15" s="14"/>
      <c r="D15" s="14"/>
      <c r="E15" s="14"/>
      <c r="F15" s="14"/>
      <c r="G15" s="14"/>
      <c r="H15" s="14"/>
      <c r="I15" s="14"/>
      <c r="J15" s="14"/>
      <c r="K15" s="40"/>
    </row>
    <row r="16" spans="1:25">
      <c r="A16" s="107"/>
      <c r="B16" s="14"/>
      <c r="C16" s="14"/>
      <c r="D16" s="304" t="s">
        <v>83</v>
      </c>
      <c r="E16" s="304"/>
      <c r="F16" s="304" t="s">
        <v>82</v>
      </c>
      <c r="G16" s="305"/>
      <c r="H16" s="14"/>
      <c r="I16" s="14"/>
      <c r="J16" s="14"/>
      <c r="K16" s="40"/>
    </row>
    <row r="17" spans="1:11">
      <c r="A17" s="107"/>
      <c r="B17" s="14"/>
      <c r="C17" s="14"/>
      <c r="D17" s="20" t="s">
        <v>84</v>
      </c>
      <c r="E17" s="20" t="s">
        <v>85</v>
      </c>
      <c r="F17" s="20" t="s">
        <v>86</v>
      </c>
      <c r="G17" s="125" t="s">
        <v>85</v>
      </c>
      <c r="H17" s="14"/>
      <c r="I17" s="14"/>
      <c r="J17" s="103"/>
      <c r="K17" s="40"/>
    </row>
    <row r="18" spans="1:11">
      <c r="A18" s="267" t="s">
        <v>241</v>
      </c>
      <c r="B18" s="268"/>
      <c r="C18" s="268"/>
      <c r="D18" s="18">
        <f>'Design of Slab'!C36</f>
        <v>10</v>
      </c>
      <c r="E18" s="18">
        <f>'Design of Slab'!D36</f>
        <v>10</v>
      </c>
      <c r="F18" s="18">
        <f>'Design of Slab'!E36</f>
        <v>10</v>
      </c>
      <c r="G18" s="18">
        <f>'Design of Slab'!F36</f>
        <v>10</v>
      </c>
      <c r="H18" s="14"/>
      <c r="I18" s="14"/>
      <c r="J18" s="14"/>
      <c r="K18" s="40"/>
    </row>
    <row r="19" spans="1:11">
      <c r="A19" s="267" t="s">
        <v>242</v>
      </c>
      <c r="B19" s="268"/>
      <c r="C19" s="268"/>
      <c r="D19" s="18">
        <f>'Design of Slab'!C40</f>
        <v>175</v>
      </c>
      <c r="E19" s="18">
        <f>'Design of Slab'!D40</f>
        <v>175</v>
      </c>
      <c r="F19" s="18">
        <f>'Design of Slab'!E40</f>
        <v>175</v>
      </c>
      <c r="G19" s="18">
        <f>'Design of Slab'!F40</f>
        <v>175</v>
      </c>
      <c r="H19" s="395" t="s">
        <v>380</v>
      </c>
      <c r="I19" s="343"/>
      <c r="J19" s="17">
        <f>Vu*1000/(1000*D24)</f>
        <v>41.120587460484714</v>
      </c>
      <c r="K19" s="40"/>
    </row>
    <row r="20" spans="1:11">
      <c r="A20" s="284" t="s">
        <v>243</v>
      </c>
      <c r="B20" s="271"/>
      <c r="C20" s="271"/>
      <c r="D20" s="23">
        <f>PI()/4*D18^2*1000/D19</f>
        <v>448.79895051282762</v>
      </c>
      <c r="E20" s="23">
        <f>PI()/4*E18^2*1000/E19</f>
        <v>448.79895051282762</v>
      </c>
      <c r="F20" s="23">
        <f>PI()/4*F18^2*1000/F19</f>
        <v>448.79895051282762</v>
      </c>
      <c r="G20" s="23">
        <f>PI()/4*G18^2*1000/G19</f>
        <v>448.79895051282762</v>
      </c>
      <c r="H20" s="405" t="s">
        <v>374</v>
      </c>
      <c r="I20" s="405"/>
      <c r="J20" s="405"/>
      <c r="K20" s="40"/>
    </row>
    <row r="21" spans="1:11">
      <c r="A21" s="267" t="s">
        <v>244</v>
      </c>
      <c r="B21" s="268"/>
      <c r="C21" s="268"/>
      <c r="D21" s="101">
        <f>D20/(b*deff_1)*100</f>
        <v>0.37399912542735636</v>
      </c>
      <c r="E21" s="101">
        <f>E20/(b*deff_2)*100</f>
        <v>0.40799904592075237</v>
      </c>
      <c r="F21" s="101">
        <f>F20/(b*deff_3)*100</f>
        <v>0.40799904592075237</v>
      </c>
      <c r="G21" s="101">
        <f>G20/(b*deff_4)*100</f>
        <v>0.40799904592075237</v>
      </c>
      <c r="H21" s="405"/>
      <c r="I21" s="405"/>
      <c r="J21" s="405"/>
      <c r="K21" s="40"/>
    </row>
    <row r="22" spans="1:11">
      <c r="A22" s="267" t="s">
        <v>245</v>
      </c>
      <c r="B22" s="268"/>
      <c r="C22" s="268"/>
      <c r="D22" s="404">
        <f>IF(Vu=D9,E21,G21)</f>
        <v>0.40799904592075237</v>
      </c>
      <c r="E22" s="404"/>
      <c r="F22" s="404"/>
      <c r="G22" s="404"/>
      <c r="H22" s="405"/>
      <c r="I22" s="405"/>
      <c r="J22" s="405"/>
      <c r="K22" s="40"/>
    </row>
    <row r="23" spans="1:11">
      <c r="A23" s="267" t="s">
        <v>253</v>
      </c>
      <c r="B23" s="268"/>
      <c r="C23" s="268"/>
      <c r="D23" s="271">
        <f>fck</f>
        <v>25</v>
      </c>
      <c r="E23" s="271"/>
      <c r="F23" s="271"/>
      <c r="G23" s="271"/>
      <c r="H23" s="15" t="s">
        <v>375</v>
      </c>
      <c r="I23" s="103">
        <f>IF(T&lt;=150,1.3,IF(T&lt;=175,1.25,IF(T&lt;=200,1.2,IF(T&lt;=225,1.15, IF(T&lt;=250,1.1,IF(T&lt;=275,1.05,1))))))</f>
        <v>1.3</v>
      </c>
      <c r="J23" s="14"/>
      <c r="K23" s="40"/>
    </row>
    <row r="24" spans="1:11">
      <c r="A24" s="267" t="s">
        <v>254</v>
      </c>
      <c r="B24" s="268"/>
      <c r="C24" s="268"/>
      <c r="D24" s="271">
        <f>Tauc*K</f>
        <v>0.56940000000000002</v>
      </c>
      <c r="E24" s="271"/>
      <c r="F24" s="271"/>
      <c r="G24" s="271"/>
      <c r="H24" s="403" t="str">
        <f>IF(D24&gt;=actualshearstress,"O.K","NOT O.K")</f>
        <v>O.K</v>
      </c>
      <c r="I24" s="403"/>
      <c r="J24" s="403"/>
      <c r="K24" s="40"/>
    </row>
    <row r="25" spans="1:11" ht="13.8" thickBot="1">
      <c r="A25" s="401" t="str">
        <f>"The design shear strength is"&amp;IF(D24&gt;=actualshearstress," more than"," less than")&amp;" actual shear stress"</f>
        <v>The design shear strength is more than actual shear stress</v>
      </c>
      <c r="B25" s="402"/>
      <c r="C25" s="402"/>
      <c r="D25" s="402"/>
      <c r="E25" s="402"/>
      <c r="F25" s="402"/>
      <c r="G25" s="402"/>
      <c r="H25" s="402"/>
      <c r="I25" s="402"/>
      <c r="J25" s="402"/>
      <c r="K25" s="126"/>
    </row>
    <row r="28" spans="1:11">
      <c r="D28" s="78"/>
      <c r="E28" s="80"/>
    </row>
    <row r="29" spans="1:11">
      <c r="D29" s="78"/>
      <c r="E29" s="81"/>
    </row>
    <row r="30" spans="1:11">
      <c r="D30" s="78"/>
      <c r="E30" s="81"/>
    </row>
    <row r="31" spans="1:11">
      <c r="A31" s="82"/>
      <c r="B31" s="82"/>
      <c r="C31" s="82"/>
      <c r="D31" s="82"/>
      <c r="E31" s="82"/>
      <c r="F31" s="82"/>
    </row>
    <row r="32" spans="1:11">
      <c r="A32" s="82"/>
      <c r="B32" s="82"/>
      <c r="C32" s="82"/>
      <c r="D32" s="86"/>
      <c r="E32" s="88"/>
      <c r="F32" s="82"/>
    </row>
    <row r="33" spans="1:6">
      <c r="A33" s="105"/>
      <c r="B33" s="105"/>
      <c r="C33" s="105"/>
      <c r="D33" s="105"/>
      <c r="E33" s="105"/>
      <c r="F33" s="105"/>
    </row>
  </sheetData>
  <customSheetViews>
    <customSheetView guid="{3E488D02-432F-45E5-90FE-5CD6FBA7363A}" scale="142" showPageBreaks="1" view="pageBreakPreview">
      <selection activeCell="H16" sqref="H16"/>
      <pageMargins left="0.75" right="0.75" top="1" bottom="1" header="0.5" footer="0.5"/>
      <pageSetup orientation="portrait" horizontalDpi="4294967295" r:id="rId1"/>
      <headerFooter alignWithMargins="0"/>
    </customSheetView>
    <customSheetView guid="{4C8449F4-FC56-4876-869E-F955C2C5C3AD}" scale="142" showPageBreaks="1" view="pageBreakPreview" topLeftCell="A4">
      <selection activeCell="D21" sqref="D21"/>
      <pageMargins left="0.75" right="0.75" top="1" bottom="1" header="0.5" footer="0.5"/>
      <pageSetup orientation="portrait" horizontalDpi="4294967295" r:id="rId2"/>
      <headerFooter alignWithMargins="0"/>
    </customSheetView>
    <customSheetView guid="{473AD2C1-50BF-11D4-AB98-94419A57BB4E}" showRuler="0">
      <pageMargins left="0.75" right="0.75" top="1" bottom="1" header="0.5" footer="0.5"/>
      <headerFooter alignWithMargins="0"/>
    </customSheetView>
    <customSheetView guid="{98368B2C-A6FC-4203-B15D-14B77BE18A81}">
      <selection activeCell="I13" sqref="I13"/>
      <pageMargins left="0.75" right="0.75" top="1" bottom="1" header="0.5" footer="0.5"/>
      <pageSetup orientation="portrait" horizontalDpi="4294967295" r:id="rId3"/>
      <headerFooter alignWithMargins="0"/>
    </customSheetView>
    <customSheetView guid="{406DF1FF-9BFC-4168-AE00-7162E8A7C8EF}">
      <selection activeCell="I13" sqref="I13"/>
      <pageMargins left="0.75" right="0.75" top="1" bottom="1" header="0.5" footer="0.5"/>
      <pageSetup orientation="portrait" horizontalDpi="4294967295" r:id="rId4"/>
      <headerFooter alignWithMargins="0"/>
    </customSheetView>
    <customSheetView guid="{8CD552DE-766B-42EA-A3A9-EF771D2E49CF}" scale="142" showPageBreaks="1" view="pageBreakPreview" topLeftCell="E3">
      <selection activeCell="I13" sqref="I13"/>
      <pageMargins left="0.75" right="0.75" top="1" bottom="1" header="0.5" footer="0.5"/>
      <pageSetup orientation="portrait" horizontalDpi="4294967295" r:id="rId5"/>
      <headerFooter alignWithMargins="0"/>
    </customSheetView>
    <customSheetView guid="{9CE232CD-A92E-403C-887B-19AF1B853CD5}" scale="142" showPageBreaks="1" view="pageBreakPreview">
      <selection activeCell="H16" sqref="H16"/>
      <pageMargins left="0.75" right="0.75" top="1" bottom="1" header="0.5" footer="0.5"/>
      <pageSetup orientation="portrait" horizontalDpi="4294967295" r:id="rId6"/>
      <headerFooter alignWithMargins="0"/>
    </customSheetView>
    <customSheetView guid="{6A6F7507-5F1B-4B90-A3F8-107D205DF2BA}" scale="142" showPageBreaks="1" view="pageBreakPreview">
      <selection activeCell="H16" sqref="H16"/>
      <pageMargins left="0.75" right="0.75" top="1" bottom="1" header="0.5" footer="0.5"/>
      <pageSetup orientation="portrait" horizontalDpi="4294967295" r:id="rId7"/>
      <headerFooter alignWithMargins="0"/>
    </customSheetView>
  </customSheetViews>
  <mergeCells count="25">
    <mergeCell ref="A19:C19"/>
    <mergeCell ref="A18:C18"/>
    <mergeCell ref="A1:K1"/>
    <mergeCell ref="A4:C4"/>
    <mergeCell ref="A3:C3"/>
    <mergeCell ref="A5:C5"/>
    <mergeCell ref="A2:C2"/>
    <mergeCell ref="H19:I19"/>
    <mergeCell ref="F12:G12"/>
    <mergeCell ref="Q8:R8"/>
    <mergeCell ref="A12:C12"/>
    <mergeCell ref="F11:H11"/>
    <mergeCell ref="D16:E16"/>
    <mergeCell ref="F16:G16"/>
    <mergeCell ref="A25:J25"/>
    <mergeCell ref="H24:J24"/>
    <mergeCell ref="A21:C21"/>
    <mergeCell ref="A22:C22"/>
    <mergeCell ref="D22:G22"/>
    <mergeCell ref="A24:C24"/>
    <mergeCell ref="D24:G24"/>
    <mergeCell ref="H20:J22"/>
    <mergeCell ref="A23:C23"/>
    <mergeCell ref="D23:G23"/>
    <mergeCell ref="A20:C20"/>
  </mergeCells>
  <phoneticPr fontId="0" type="noConversion"/>
  <pageMargins left="0.75" right="0.75" top="1" bottom="1" header="0.5" footer="0.5"/>
  <pageSetup orientation="portrait" horizontalDpi="4294967295" r:id="rId8"/>
  <headerFooter alignWithMargins="0"/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31"/>
  <sheetViews>
    <sheetView view="pageBreakPreview" zoomScale="142" zoomScaleNormal="100" zoomScaleSheetLayoutView="142" workbookViewId="0">
      <selection activeCell="E6" sqref="E6"/>
    </sheetView>
  </sheetViews>
  <sheetFormatPr defaultRowHeight="13.2"/>
  <cols>
    <col min="3" max="3" width="12.109375" customWidth="1"/>
    <col min="5" max="5" width="16.109375" customWidth="1"/>
  </cols>
  <sheetData>
    <row r="1" spans="1:6">
      <c r="A1" s="77" t="s">
        <v>184</v>
      </c>
    </row>
    <row r="2" spans="1:6" ht="15" customHeight="1"/>
    <row r="3" spans="1:6" ht="15.75" customHeight="1">
      <c r="A3" t="s">
        <v>185</v>
      </c>
      <c r="D3" s="9">
        <f>MAX(Mu_sh_span,Mu_sh_supp,Mu_ln_span,Mu_ln_supp)</f>
        <v>13.261724999999998</v>
      </c>
      <c r="E3" t="s">
        <v>186</v>
      </c>
    </row>
    <row r="4" spans="1:6" ht="19.5" customHeight="1">
      <c r="A4" t="s">
        <v>187</v>
      </c>
      <c r="D4" s="9">
        <f>Ec</f>
        <v>25000</v>
      </c>
      <c r="E4" t="s">
        <v>188</v>
      </c>
    </row>
    <row r="5" spans="1:6" ht="15.75" customHeight="1">
      <c r="A5" t="s">
        <v>189</v>
      </c>
      <c r="C5" s="89" t="s">
        <v>190</v>
      </c>
      <c r="D5" s="9">
        <f>m</f>
        <v>8</v>
      </c>
    </row>
    <row r="6" spans="1:6">
      <c r="C6" s="78" t="s">
        <v>191</v>
      </c>
    </row>
    <row r="7" spans="1:6" ht="15.75" customHeight="1">
      <c r="A7" t="s">
        <v>192</v>
      </c>
      <c r="B7" s="99">
        <f>MAX(1000*PI()/4*'Design of Slab'!C36^2/'Design of Slab'!C40,1000*PI()/4*'Design of Slab'!D36^2/'Design of Slab'!D40)</f>
        <v>448.79895051282756</v>
      </c>
      <c r="C7" t="s">
        <v>193</v>
      </c>
    </row>
    <row r="8" spans="1:6" ht="15.75" customHeight="1">
      <c r="A8" t="s">
        <v>194</v>
      </c>
      <c r="B8" s="99">
        <v>0</v>
      </c>
      <c r="C8" t="s">
        <v>193</v>
      </c>
    </row>
    <row r="9" spans="1:6">
      <c r="A9" t="s">
        <v>195</v>
      </c>
      <c r="B9" s="79">
        <f>pt_s_sp</f>
        <v>0.37399912542735636</v>
      </c>
    </row>
    <row r="10" spans="1:6">
      <c r="A10" t="s">
        <v>196</v>
      </c>
      <c r="B10" s="99">
        <v>0</v>
      </c>
    </row>
    <row r="11" spans="1:6">
      <c r="A11" t="s">
        <v>197</v>
      </c>
    </row>
    <row r="12" spans="1:6">
      <c r="A12" t="s">
        <v>198</v>
      </c>
      <c r="B12" s="90" t="s">
        <v>357</v>
      </c>
      <c r="F12" s="91" t="s">
        <v>199</v>
      </c>
    </row>
    <row r="13" spans="1:6">
      <c r="A13" s="92" t="s">
        <v>105</v>
      </c>
      <c r="B13" s="59">
        <f>((m^2*(B9+1.5*B10)^2+2*m*(B9+1.5*B10*cover/d))^0.5-m*(B9+1.5*B10))*d</f>
        <v>104.7264239171746</v>
      </c>
      <c r="C13" t="s">
        <v>200</v>
      </c>
    </row>
    <row r="14" spans="1:6">
      <c r="A14" s="92" t="s">
        <v>201</v>
      </c>
      <c r="B14" s="90" t="s">
        <v>202</v>
      </c>
    </row>
    <row r="15" spans="1:6">
      <c r="A15" s="92"/>
      <c r="B15" s="59" t="s">
        <v>105</v>
      </c>
      <c r="C15" s="59">
        <f>(1000*B13^3/3+(1.5*D5-1)*B8*(B13-d)^2+D5*B7*(d-B13)^2)</f>
        <v>383704249.65622282</v>
      </c>
      <c r="D15" t="s">
        <v>203</v>
      </c>
    </row>
    <row r="16" spans="1:6">
      <c r="A16" t="s">
        <v>204</v>
      </c>
    </row>
    <row r="17" spans="1:6" ht="15.6">
      <c r="B17" t="s">
        <v>205</v>
      </c>
      <c r="C17" s="9">
        <f>D5*D3*1000000/C15*(d-B13)</f>
        <v>4.2231268683312102</v>
      </c>
      <c r="D17" t="s">
        <v>65</v>
      </c>
      <c r="E17" s="90"/>
    </row>
    <row r="18" spans="1:6" ht="16.8">
      <c r="A18" s="76" t="s">
        <v>206</v>
      </c>
      <c r="B18" s="76" t="s">
        <v>207</v>
      </c>
      <c r="C18" s="76" t="s">
        <v>208</v>
      </c>
      <c r="D18" s="76" t="s">
        <v>209</v>
      </c>
      <c r="E18" s="93" t="s">
        <v>210</v>
      </c>
      <c r="F18" s="93" t="s">
        <v>211</v>
      </c>
    </row>
    <row r="19" spans="1:6">
      <c r="A19" s="76">
        <v>1</v>
      </c>
      <c r="B19" s="94">
        <f>T-B13</f>
        <v>45.2735760828254</v>
      </c>
      <c r="C19" s="95">
        <f>SQRT(('Design of Slab'!D11)^2+('Design of Slab'!D11)^2)-'Design of Slab'!C36/2</f>
        <v>30.355339059327378</v>
      </c>
      <c r="D19" s="76">
        <f>T</f>
        <v>150</v>
      </c>
      <c r="E19" s="100">
        <f>B19/(d-B13)*C17/200/1000*1000</f>
        <v>6.2590468186363518E-2</v>
      </c>
      <c r="F19" s="2">
        <f>1000*(T-B13)*(D19-B13)/3/200/B7/(d-B13)</f>
        <v>0.49836299184592908</v>
      </c>
    </row>
    <row r="20" spans="1:6">
      <c r="A20" s="76">
        <v>2</v>
      </c>
      <c r="B20" s="94">
        <f>(d-B13)/2</f>
        <v>7.6367880414127001</v>
      </c>
      <c r="C20" s="95">
        <f>SQRT(B20^2+'Design of Slab'!D85)-'Design of Slab'!C36/2</f>
        <v>2.6367880414127001</v>
      </c>
      <c r="D20" s="94">
        <f>T-Crackwidth!B20</f>
        <v>142.3632119585873</v>
      </c>
      <c r="E20" s="100">
        <f>B20/(d-B13)*C17/200/1000*1000</f>
        <v>1.0557817170828026E-2</v>
      </c>
      <c r="F20" s="2">
        <f>1000*(T-B13)*(B20-B13)/3/200/B7/(d-B13)</f>
        <v>-1.0687444111717037</v>
      </c>
    </row>
    <row r="21" spans="1:6" ht="16.8">
      <c r="A21" t="s">
        <v>212</v>
      </c>
      <c r="B21" s="96" t="s">
        <v>213</v>
      </c>
      <c r="C21" s="96" t="s">
        <v>211</v>
      </c>
    </row>
    <row r="22" spans="1:6">
      <c r="B22" t="s">
        <v>105</v>
      </c>
      <c r="C22">
        <f>(E19-F19)/1000</f>
        <v>-4.3577252365956554E-4</v>
      </c>
      <c r="D22" t="s">
        <v>200</v>
      </c>
      <c r="E22" t="s">
        <v>214</v>
      </c>
      <c r="F22" s="97" t="str">
        <f>IF(C22&lt;0,"NO CRACK FORMED","CALCULATION OF CRACK WIDTH REQUIRED")</f>
        <v>NO CRACK FORMED</v>
      </c>
    </row>
    <row r="23" spans="1:6">
      <c r="B23" t="s">
        <v>105</v>
      </c>
      <c r="C23">
        <f>(E20-F20)/1000</f>
        <v>1.0793022283425318E-3</v>
      </c>
      <c r="D23" t="s">
        <v>200</v>
      </c>
      <c r="E23" t="s">
        <v>215</v>
      </c>
      <c r="F23" s="97" t="str">
        <f>IF(C23&lt;0,"NO CRACK FORMED","CALCULATION OF CRACK WIDTH REQUIRED")</f>
        <v>CALCULATION OF CRACK WIDTH REQUIRED</v>
      </c>
    </row>
    <row r="24" spans="1:6">
      <c r="A24" t="s">
        <v>216</v>
      </c>
      <c r="B24" s="9">
        <f>3*C19*C22/(1+2*(C19-'Design of Slab'!D11)/(T-B13))</f>
        <v>-3.2091874816797081E-2</v>
      </c>
      <c r="C24" t="s">
        <v>200</v>
      </c>
      <c r="D24" t="s">
        <v>217</v>
      </c>
      <c r="F24" s="98" t="str">
        <f>IF(B24&lt;0.2,"SAFE","REVISE THE SECTION")</f>
        <v>SAFE</v>
      </c>
    </row>
    <row r="25" spans="1:6">
      <c r="A25" t="s">
        <v>216</v>
      </c>
      <c r="B25" s="9">
        <f>3*C20*C23/(1+2*(C20-'Design of Slab'!D11)/(T-B13))</f>
        <v>0.706441536296332</v>
      </c>
      <c r="C25" t="s">
        <v>200</v>
      </c>
      <c r="D25" t="s">
        <v>218</v>
      </c>
      <c r="F25" s="98" t="str">
        <f>IF(B25&lt;0.2,"SAFE","REVISE THE SECTION")</f>
        <v>REVISE THE SECTION</v>
      </c>
    </row>
    <row r="31" spans="1:6">
      <c r="E31" s="9"/>
    </row>
  </sheetData>
  <sheetProtection sheet="1" objects="1" scenarios="1"/>
  <customSheetViews>
    <customSheetView guid="{3E488D02-432F-45E5-90FE-5CD6FBA7363A}" scale="142" showPageBreaks="1" view="pageBreakPreview">
      <selection activeCell="E6" sqref="E6"/>
      <pageMargins left="0.75" right="0.75" top="1" bottom="1" header="0.5" footer="0.5"/>
      <pageSetup paperSize="9" orientation="portrait" r:id="rId1"/>
      <headerFooter alignWithMargins="0"/>
    </customSheetView>
    <customSheetView guid="{4C8449F4-FC56-4876-869E-F955C2C5C3AD}" scale="142" showPageBreaks="1" view="pageBreakPreview" topLeftCell="A4">
      <selection activeCell="B9" sqref="B9"/>
      <pageMargins left="0.75" right="0.75" top="1" bottom="1" header="0.5" footer="0.5"/>
      <pageSetup paperSize="9" orientation="portrait" r:id="rId2"/>
      <headerFooter alignWithMargins="0"/>
    </customSheetView>
    <customSheetView guid="{473AD2C1-50BF-11D4-AB98-94419A57BB4E}" showRuler="0">
      <pageMargins left="0.75" right="0.75" top="1" bottom="1" header="0.5" footer="0.5"/>
      <headerFooter alignWithMargins="0"/>
    </customSheetView>
    <customSheetView guid="{98368B2C-A6FC-4203-B15D-14B77BE18A81}">
      <selection activeCell="C15" sqref="C15"/>
      <pageMargins left="0.75" right="0.75" top="1" bottom="1" header="0.5" footer="0.5"/>
      <headerFooter alignWithMargins="0"/>
    </customSheetView>
    <customSheetView guid="{406DF1FF-9BFC-4168-AE00-7162E8A7C8EF}">
      <selection activeCell="C15" sqref="C15"/>
      <pageMargins left="0.75" right="0.75" top="1" bottom="1" header="0.5" footer="0.5"/>
      <headerFooter alignWithMargins="0"/>
    </customSheetView>
    <customSheetView guid="{8CD552DE-766B-42EA-A3A9-EF771D2E49CF}" scale="142" showPageBreaks="1" view="pageBreakPreview" topLeftCell="A2">
      <selection activeCell="B24" sqref="B24"/>
      <pageMargins left="0.75" right="0.75" top="1" bottom="1" header="0.5" footer="0.5"/>
      <pageSetup paperSize="9" orientation="portrait" r:id="rId3"/>
      <headerFooter alignWithMargins="0"/>
    </customSheetView>
    <customSheetView guid="{9CE232CD-A92E-403C-887B-19AF1B853CD5}" scale="142" showPageBreaks="1" view="pageBreakPreview">
      <selection activeCell="B9" sqref="B9"/>
      <pageMargins left="0.75" right="0.75" top="1" bottom="1" header="0.5" footer="0.5"/>
      <pageSetup paperSize="9" orientation="portrait" r:id="rId4"/>
      <headerFooter alignWithMargins="0"/>
    </customSheetView>
    <customSheetView guid="{6A6F7507-5F1B-4B90-A3F8-107D205DF2BA}" scale="142" showPageBreaks="1" view="pageBreakPreview">
      <selection activeCell="E6" sqref="E6"/>
      <pageMargins left="0.75" right="0.75" top="1" bottom="1" header="0.5" footer="0.5"/>
      <pageSetup paperSize="9" orientation="portrait" r:id="rId5"/>
      <headerFooter alignWithMargins="0"/>
    </customSheetView>
  </customSheetViews>
  <phoneticPr fontId="0" type="noConversion"/>
  <conditionalFormatting sqref="F24:F25">
    <cfRule type="expression" dxfId="1" priority="1" stopIfTrue="1">
      <formula>$B$107&lt;0.2</formula>
    </cfRule>
    <cfRule type="expression" dxfId="0" priority="2" stopIfTrue="1">
      <formula>$B$107&gt;0.2</formula>
    </cfRule>
  </conditionalFormatting>
  <pageMargins left="0.75" right="0.75" top="1" bottom="1" header="0.5" footer="0.5"/>
  <pageSetup paperSize="9" orientation="portrait" r:id="rId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1:U53"/>
  <sheetViews>
    <sheetView view="pageBreakPreview" zoomScale="118" zoomScaleNormal="85" zoomScaleSheetLayoutView="118" workbookViewId="0">
      <selection activeCell="A18" sqref="A18:G19"/>
    </sheetView>
  </sheetViews>
  <sheetFormatPr defaultRowHeight="13.2"/>
  <cols>
    <col min="1" max="1" width="8.109375" customWidth="1"/>
    <col min="2" max="2" width="9.44140625" customWidth="1"/>
    <col min="3" max="3" width="8.33203125" customWidth="1"/>
    <col min="4" max="4" width="13.33203125" customWidth="1"/>
    <col min="5" max="5" width="10.44140625" customWidth="1"/>
    <col min="6" max="6" width="8" customWidth="1"/>
    <col min="7" max="7" width="8.109375" customWidth="1"/>
    <col min="10" max="10" width="10.33203125" customWidth="1"/>
    <col min="11" max="11" width="13.44140625" customWidth="1"/>
    <col min="12" max="12" width="6.5546875" customWidth="1"/>
    <col min="13" max="13" width="10.5546875" bestFit="1" customWidth="1"/>
    <col min="15" max="15" width="10" bestFit="1" customWidth="1"/>
    <col min="18" max="19" width="11" customWidth="1"/>
    <col min="20" max="20" width="22.5546875" customWidth="1"/>
    <col min="21" max="21" width="22" customWidth="1"/>
  </cols>
  <sheetData>
    <row r="1" spans="1:21" ht="14.4" thickBot="1">
      <c r="A1" s="433" t="s">
        <v>259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5"/>
      <c r="T1" s="2" t="s">
        <v>332</v>
      </c>
      <c r="U1" s="2" t="s">
        <v>365</v>
      </c>
    </row>
    <row r="2" spans="1:21">
      <c r="T2" s="2" t="s">
        <v>333</v>
      </c>
      <c r="U2" s="2" t="s">
        <v>366</v>
      </c>
    </row>
    <row r="3" spans="1:21" ht="13.8" thickBot="1">
      <c r="P3" s="437"/>
      <c r="Q3" s="437"/>
      <c r="R3" s="438"/>
      <c r="S3" s="223"/>
      <c r="T3" s="76"/>
      <c r="U3" s="76"/>
    </row>
    <row r="4" spans="1:21" ht="13.8" thickBot="1">
      <c r="A4" s="146" t="s">
        <v>260</v>
      </c>
      <c r="B4" s="144"/>
      <c r="C4" s="144"/>
      <c r="D4" s="144"/>
      <c r="E4" s="144"/>
      <c r="F4" s="144"/>
      <c r="G4" s="145"/>
      <c r="P4" s="17" t="s">
        <v>25</v>
      </c>
      <c r="Q4" s="2"/>
      <c r="R4" s="2"/>
      <c r="S4" s="17" t="s">
        <v>0</v>
      </c>
      <c r="T4" s="76">
        <f>5/384</f>
        <v>1.3020833333333334E-2</v>
      </c>
      <c r="U4" s="76">
        <v>0.125</v>
      </c>
    </row>
    <row r="5" spans="1:21">
      <c r="A5" s="154"/>
      <c r="P5" s="425" t="s">
        <v>26</v>
      </c>
      <c r="Q5" s="330"/>
      <c r="R5" s="289"/>
      <c r="S5" s="17" t="s">
        <v>1</v>
      </c>
      <c r="T5" s="76">
        <f>1/384</f>
        <v>2.6041666666666665E-3</v>
      </c>
      <c r="U5" s="76">
        <v>6.25E-2</v>
      </c>
    </row>
    <row r="6" spans="1:21">
      <c r="A6" s="154" t="s">
        <v>336</v>
      </c>
      <c r="P6" s="17" t="s">
        <v>27</v>
      </c>
      <c r="Q6" s="2"/>
      <c r="R6" s="2"/>
      <c r="S6" s="17" t="s">
        <v>2</v>
      </c>
      <c r="T6" s="76">
        <f>T4</f>
        <v>1.3020833333333334E-2</v>
      </c>
      <c r="U6" s="76">
        <v>0.125</v>
      </c>
    </row>
    <row r="7" spans="1:21">
      <c r="A7" s="154" t="s">
        <v>345</v>
      </c>
      <c r="E7" s="225">
        <f>ShearCheck!D9/1.5</f>
        <v>15.609374999999998</v>
      </c>
      <c r="F7" t="s">
        <v>234</v>
      </c>
      <c r="K7" s="59"/>
      <c r="L7" s="442"/>
      <c r="M7" s="442"/>
      <c r="P7" s="17" t="s">
        <v>28</v>
      </c>
      <c r="Q7" s="2"/>
      <c r="R7" s="2"/>
      <c r="S7" s="17" t="s">
        <v>3</v>
      </c>
      <c r="T7" s="76">
        <f>T5</f>
        <v>2.6041666666666665E-3</v>
      </c>
      <c r="U7" s="76">
        <f>U5</f>
        <v>6.25E-2</v>
      </c>
    </row>
    <row r="8" spans="1:21">
      <c r="A8" s="439" t="s">
        <v>346</v>
      </c>
      <c r="B8" s="439"/>
      <c r="C8" s="439"/>
      <c r="D8" s="439"/>
      <c r="E8" s="225">
        <f>E7*2/Lx</f>
        <v>10.406249999999998</v>
      </c>
      <c r="F8" t="s">
        <v>234</v>
      </c>
      <c r="L8" s="442"/>
      <c r="M8" s="442"/>
      <c r="P8" s="415" t="s">
        <v>29</v>
      </c>
      <c r="Q8" s="416"/>
      <c r="R8" s="417"/>
      <c r="S8" s="421" t="s">
        <v>4</v>
      </c>
      <c r="T8" s="424">
        <f>1/185</f>
        <v>5.4054054054054057E-3</v>
      </c>
      <c r="U8" s="424">
        <v>8.5999999999999993E-2</v>
      </c>
    </row>
    <row r="9" spans="1:21">
      <c r="A9" s="154" t="s">
        <v>356</v>
      </c>
      <c r="E9" s="225">
        <f>E8/(DL+LL)*DL</f>
        <v>7.28125</v>
      </c>
      <c r="F9" t="s">
        <v>234</v>
      </c>
      <c r="L9" s="442"/>
      <c r="M9" s="442"/>
      <c r="P9" s="426"/>
      <c r="Q9" s="427"/>
      <c r="R9" s="428"/>
      <c r="S9" s="429"/>
      <c r="T9" s="424"/>
      <c r="U9" s="424"/>
    </row>
    <row r="10" spans="1:21" ht="13.8" thickBot="1">
      <c r="A10" s="154"/>
      <c r="P10" s="426"/>
      <c r="Q10" s="427"/>
      <c r="R10" s="428"/>
      <c r="S10" s="429"/>
      <c r="T10" s="424"/>
      <c r="U10" s="424"/>
    </row>
    <row r="11" spans="1:21">
      <c r="A11" s="173" t="s">
        <v>261</v>
      </c>
      <c r="B11" s="174"/>
      <c r="C11" s="174"/>
      <c r="D11" s="175" t="s">
        <v>280</v>
      </c>
      <c r="E11" s="158"/>
      <c r="F11" s="158"/>
      <c r="G11" s="158"/>
      <c r="H11" s="158"/>
      <c r="I11" s="158"/>
      <c r="J11" s="158"/>
      <c r="K11" s="158"/>
      <c r="L11" s="158"/>
      <c r="M11" s="430" t="s">
        <v>358</v>
      </c>
      <c r="N11" s="431"/>
      <c r="O11" s="432"/>
      <c r="P11" s="418"/>
      <c r="Q11" s="419"/>
      <c r="R11" s="420"/>
      <c r="S11" s="422"/>
      <c r="T11" s="424"/>
      <c r="U11" s="424"/>
    </row>
    <row r="12" spans="1:21">
      <c r="A12" s="440" t="s">
        <v>262</v>
      </c>
      <c r="B12" s="441"/>
      <c r="C12" s="441"/>
      <c r="D12" s="441"/>
      <c r="E12" s="441"/>
      <c r="F12" s="441"/>
      <c r="G12" s="441"/>
      <c r="H12" s="457" t="s">
        <v>266</v>
      </c>
      <c r="I12" s="458"/>
      <c r="J12" s="459"/>
      <c r="K12" s="149"/>
      <c r="L12" s="149"/>
      <c r="M12" s="2" t="s">
        <v>359</v>
      </c>
      <c r="N12" s="2"/>
      <c r="O12" s="2">
        <f>T</f>
        <v>150</v>
      </c>
      <c r="P12" s="415" t="s">
        <v>30</v>
      </c>
      <c r="Q12" s="416"/>
      <c r="R12" s="417"/>
      <c r="S12" s="421" t="s">
        <v>5</v>
      </c>
      <c r="T12" s="423">
        <f>1/185</f>
        <v>5.4054054054054057E-3</v>
      </c>
      <c r="U12" s="423">
        <f>U8</f>
        <v>8.5999999999999993E-2</v>
      </c>
    </row>
    <row r="13" spans="1:21">
      <c r="A13" s="159"/>
      <c r="B13" s="160"/>
      <c r="C13" s="160"/>
      <c r="D13" s="160"/>
      <c r="E13" s="160"/>
      <c r="F13" s="160"/>
      <c r="G13" s="160"/>
      <c r="H13" s="448" t="s">
        <v>268</v>
      </c>
      <c r="I13" s="449"/>
      <c r="J13" s="450"/>
      <c r="K13" s="155">
        <f>m</f>
        <v>8</v>
      </c>
      <c r="M13" s="2" t="s">
        <v>360</v>
      </c>
      <c r="N13" s="2"/>
      <c r="O13" s="247">
        <f>ShearCheck!D20</f>
        <v>448.79895051282762</v>
      </c>
      <c r="P13" s="418"/>
      <c r="Q13" s="419"/>
      <c r="R13" s="420"/>
      <c r="S13" s="422"/>
      <c r="T13" s="423"/>
      <c r="U13" s="423"/>
    </row>
    <row r="14" spans="1:21" ht="15.6">
      <c r="A14" s="180" t="s">
        <v>264</v>
      </c>
      <c r="B14" s="172"/>
      <c r="C14" s="172"/>
      <c r="D14" s="172"/>
      <c r="E14" s="172"/>
      <c r="F14" s="181">
        <f>Ec</f>
        <v>25000</v>
      </c>
      <c r="G14" s="182" t="s">
        <v>65</v>
      </c>
      <c r="H14" s="268" t="s">
        <v>269</v>
      </c>
      <c r="I14" s="268"/>
      <c r="J14" s="268"/>
      <c r="K14" s="9">
        <f>pt_s_sp</f>
        <v>0.37399912542735636</v>
      </c>
      <c r="M14" s="2" t="s">
        <v>361</v>
      </c>
      <c r="N14" s="2"/>
      <c r="O14" s="2">
        <f>(b*O12*O12/2+(m-1)*O13*d)/(b*T+O13)</f>
        <v>77.282046779617318</v>
      </c>
      <c r="P14" s="415" t="s">
        <v>32</v>
      </c>
      <c r="Q14" s="416"/>
      <c r="R14" s="417"/>
      <c r="S14" s="421" t="s">
        <v>24</v>
      </c>
      <c r="T14" s="423">
        <f>1/384</f>
        <v>2.6041666666666665E-3</v>
      </c>
      <c r="U14" s="423">
        <f>U5</f>
        <v>6.25E-2</v>
      </c>
    </row>
    <row r="15" spans="1:21" ht="15.6">
      <c r="A15" s="179" t="s">
        <v>263</v>
      </c>
      <c r="B15" s="152"/>
      <c r="C15" s="152"/>
      <c r="D15" s="152"/>
      <c r="E15" s="436">
        <f>IF(Ig&gt;Icr, IF(Ie&lt;Icr,Icr,IF(Ie&gt;Ig,Ig)),IF(Ie&gt;Ig,Ig,Ie))</f>
        <v>287764012.81323969</v>
      </c>
      <c r="F15" s="436"/>
      <c r="G15" s="153" t="s">
        <v>265</v>
      </c>
      <c r="H15" s="2" t="s">
        <v>270</v>
      </c>
      <c r="I15" s="2"/>
      <c r="J15" s="2"/>
      <c r="K15" s="59">
        <f>Crackwidth!B13</f>
        <v>104.7264239171746</v>
      </c>
      <c r="L15" t="s">
        <v>61</v>
      </c>
      <c r="M15" s="2" t="s">
        <v>362</v>
      </c>
      <c r="N15" s="2"/>
      <c r="O15" s="2">
        <f>1/12*b*T^3</f>
        <v>281250000</v>
      </c>
      <c r="P15" s="418"/>
      <c r="Q15" s="419"/>
      <c r="R15" s="420"/>
      <c r="S15" s="422"/>
      <c r="T15" s="423"/>
      <c r="U15" s="423"/>
    </row>
    <row r="16" spans="1:21" ht="15.6">
      <c r="A16" s="164"/>
      <c r="B16" s="78"/>
      <c r="C16" s="78"/>
      <c r="D16" s="78"/>
      <c r="E16" s="78"/>
      <c r="H16" s="2" t="s">
        <v>271</v>
      </c>
      <c r="I16" s="2"/>
      <c r="J16" s="2"/>
      <c r="K16" s="59">
        <f>b*K15^3/3+m*ShearCheck!D20*(d-'Actual deflection'!K15)^2</f>
        <v>383704249.65622282</v>
      </c>
      <c r="L16" t="s">
        <v>265</v>
      </c>
      <c r="M16" s="2" t="s">
        <v>363</v>
      </c>
      <c r="N16" s="2"/>
      <c r="O16" s="2">
        <f>b*T*(O14-T/2)^2</f>
        <v>781160.62565426552</v>
      </c>
      <c r="P16" s="415" t="s">
        <v>33</v>
      </c>
      <c r="Q16" s="416"/>
      <c r="R16" s="417"/>
      <c r="S16" s="421" t="s">
        <v>31</v>
      </c>
      <c r="T16" s="423">
        <f>5/384</f>
        <v>1.3020833333333334E-2</v>
      </c>
      <c r="U16" s="423">
        <f>U4</f>
        <v>0.125</v>
      </c>
    </row>
    <row r="17" spans="1:21" ht="16.2" thickBot="1">
      <c r="A17" s="166" t="s">
        <v>279</v>
      </c>
      <c r="B17" s="78"/>
      <c r="C17" s="78"/>
      <c r="D17" s="78"/>
      <c r="E17" s="78"/>
      <c r="H17" s="2" t="s">
        <v>272</v>
      </c>
      <c r="I17" s="2"/>
      <c r="J17" s="2"/>
      <c r="K17" s="59">
        <f>O18</f>
        <v>287764012.81323969</v>
      </c>
      <c r="L17" t="s">
        <v>265</v>
      </c>
      <c r="M17" s="247" t="s">
        <v>364</v>
      </c>
      <c r="N17" s="2"/>
      <c r="O17" s="2">
        <f>(m-1)*O13*(d-O14)^2</f>
        <v>5732852.1875853976</v>
      </c>
      <c r="P17" s="418"/>
      <c r="Q17" s="419"/>
      <c r="R17" s="420"/>
      <c r="S17" s="422"/>
      <c r="T17" s="423"/>
      <c r="U17" s="423"/>
    </row>
    <row r="18" spans="1:21" ht="15.6">
      <c r="A18" s="451" t="str">
        <f>'Design of Slab'!G20</f>
        <v>Two short edges discontinuous</v>
      </c>
      <c r="B18" s="452"/>
      <c r="C18" s="452"/>
      <c r="D18" s="452"/>
      <c r="E18" s="452"/>
      <c r="F18" s="452"/>
      <c r="G18" s="453"/>
      <c r="H18" s="177" t="s">
        <v>344</v>
      </c>
      <c r="I18" s="2"/>
      <c r="J18" s="2"/>
      <c r="K18" s="156">
        <f>0.7*fck^0.5</f>
        <v>3.5</v>
      </c>
      <c r="L18" t="s">
        <v>65</v>
      </c>
      <c r="M18" s="2"/>
      <c r="N18" s="2"/>
      <c r="O18" s="2">
        <f>O15+O16+O17</f>
        <v>287764012.81323969</v>
      </c>
      <c r="P18" s="415" t="s">
        <v>35</v>
      </c>
      <c r="Q18" s="416"/>
      <c r="R18" s="417"/>
      <c r="S18" s="421" t="s">
        <v>34</v>
      </c>
      <c r="T18" s="423">
        <f>1/185</f>
        <v>5.4054054054054057E-3</v>
      </c>
      <c r="U18" s="423">
        <f>U8</f>
        <v>8.5999999999999993E-2</v>
      </c>
    </row>
    <row r="19" spans="1:21" ht="13.8" thickBot="1">
      <c r="A19" s="454"/>
      <c r="B19" s="455"/>
      <c r="C19" s="455"/>
      <c r="D19" s="455"/>
      <c r="E19" s="455"/>
      <c r="F19" s="455"/>
      <c r="G19" s="456"/>
      <c r="H19" s="177" t="s">
        <v>267</v>
      </c>
      <c r="I19" s="2"/>
      <c r="J19" s="2"/>
      <c r="L19" s="8"/>
      <c r="P19" s="418"/>
      <c r="Q19" s="419"/>
      <c r="R19" s="420"/>
      <c r="S19" s="422"/>
      <c r="T19" s="423"/>
      <c r="U19" s="423"/>
    </row>
    <row r="20" spans="1:21" ht="13.8" thickBot="1">
      <c r="A20" s="176" t="s">
        <v>281</v>
      </c>
      <c r="H20" s="2" t="s">
        <v>273</v>
      </c>
      <c r="I20" s="2"/>
      <c r="J20" s="2"/>
      <c r="K20">
        <f>T/2</f>
        <v>75</v>
      </c>
      <c r="L20" s="8" t="s">
        <v>61</v>
      </c>
    </row>
    <row r="21" spans="1:21" ht="13.8" thickBot="1">
      <c r="A21" s="147" t="s">
        <v>261</v>
      </c>
      <c r="B21" s="168"/>
      <c r="C21" s="168"/>
      <c r="D21" s="168" t="s">
        <v>280</v>
      </c>
      <c r="E21" s="238">
        <f>T22*E8*(Lx*1000)^4/F14/E15</f>
        <v>0.30512062129180972</v>
      </c>
      <c r="F21" s="169" t="s">
        <v>61</v>
      </c>
      <c r="G21" s="78"/>
      <c r="H21" s="2" t="s">
        <v>274</v>
      </c>
      <c r="I21" s="2"/>
      <c r="J21" s="2"/>
      <c r="K21" s="59">
        <f>K18*K17/K20</f>
        <v>13428987.264617853</v>
      </c>
      <c r="L21" s="8" t="s">
        <v>278</v>
      </c>
      <c r="P21" s="3" t="s">
        <v>334</v>
      </c>
      <c r="Q21" s="158"/>
      <c r="R21" s="158"/>
      <c r="S21" s="158"/>
      <c r="T21" s="222" t="str">
        <f>Condition</f>
        <v>Cond-4</v>
      </c>
      <c r="U21" s="222" t="str">
        <f>Condition</f>
        <v>Cond-4</v>
      </c>
    </row>
    <row r="22" spans="1:21" ht="13.8" thickBot="1">
      <c r="A22" s="164"/>
      <c r="B22" s="78"/>
      <c r="C22" s="78"/>
      <c r="D22" s="78"/>
      <c r="E22" s="78"/>
      <c r="H22" s="2" t="s">
        <v>275</v>
      </c>
      <c r="I22" s="2"/>
      <c r="J22" s="2"/>
      <c r="K22">
        <f>Mu_sh_span*1000000</f>
        <v>9890099.9999999981</v>
      </c>
      <c r="L22" s="8" t="s">
        <v>278</v>
      </c>
      <c r="P22" s="5" t="s">
        <v>335</v>
      </c>
      <c r="Q22" s="148"/>
      <c r="R22" s="148"/>
      <c r="S22" s="148"/>
      <c r="T22" s="224">
        <f>VLOOKUP(T21,S4:T19,2)</f>
        <v>2.6041666666666665E-3</v>
      </c>
      <c r="U22" s="224">
        <f>VLOOKUP(U21,S4:U19,3)</f>
        <v>6.25E-2</v>
      </c>
    </row>
    <row r="23" spans="1:21">
      <c r="A23" s="164"/>
      <c r="B23" s="78"/>
      <c r="C23" s="78"/>
      <c r="D23" s="78"/>
      <c r="E23" s="78"/>
      <c r="H23" s="448" t="s">
        <v>276</v>
      </c>
      <c r="I23" s="449"/>
      <c r="J23" s="450"/>
      <c r="K23" s="59">
        <f>'Design of Slab'!J21-K15/3</f>
        <v>85.091192027608457</v>
      </c>
      <c r="L23" s="8" t="s">
        <v>61</v>
      </c>
    </row>
    <row r="24" spans="1:21" ht="16.2" thickBot="1">
      <c r="A24" s="170"/>
      <c r="B24" s="171"/>
      <c r="C24" s="171"/>
      <c r="D24" s="171"/>
      <c r="E24" s="171"/>
      <c r="F24" s="148"/>
      <c r="G24" s="148"/>
      <c r="H24" s="445" t="s">
        <v>277</v>
      </c>
      <c r="I24" s="446"/>
      <c r="J24" s="447"/>
      <c r="K24" s="148">
        <f>K16/MAX(0.1,(1.2-K21/K22*K23/d*(1-K15/d)*1))</f>
        <v>356121821.85932589</v>
      </c>
      <c r="L24" s="6" t="s">
        <v>265</v>
      </c>
    </row>
    <row r="25" spans="1:21" ht="13.8" thickBot="1">
      <c r="A25" s="7"/>
      <c r="P25" s="77" t="s">
        <v>368</v>
      </c>
    </row>
    <row r="26" spans="1:21">
      <c r="A26" s="186" t="s">
        <v>282</v>
      </c>
      <c r="B26" s="187"/>
      <c r="C26" s="187"/>
      <c r="D26" s="196" t="s">
        <v>283</v>
      </c>
      <c r="E26" s="197"/>
      <c r="F26" s="158"/>
      <c r="G26" s="158"/>
      <c r="H26" s="158"/>
      <c r="I26" s="158"/>
      <c r="J26" s="158"/>
      <c r="K26" s="158"/>
      <c r="L26" s="158"/>
      <c r="M26" s="4"/>
      <c r="P26" s="17" t="s">
        <v>25</v>
      </c>
      <c r="Q26" s="2"/>
      <c r="R26" s="2"/>
      <c r="S26" s="17" t="s">
        <v>0</v>
      </c>
      <c r="T26" s="76">
        <f>U4</f>
        <v>0.125</v>
      </c>
    </row>
    <row r="27" spans="1:21">
      <c r="A27" s="198" t="s">
        <v>284</v>
      </c>
      <c r="M27" s="8"/>
      <c r="P27" s="425" t="s">
        <v>26</v>
      </c>
      <c r="Q27" s="330"/>
      <c r="R27" s="289"/>
      <c r="S27" s="17" t="s">
        <v>1</v>
      </c>
      <c r="T27" s="76">
        <f>U5</f>
        <v>6.25E-2</v>
      </c>
    </row>
    <row r="28" spans="1:21" ht="13.8" thickBot="1">
      <c r="A28" s="7"/>
      <c r="H28" t="s">
        <v>367</v>
      </c>
      <c r="K28" s="9">
        <f>K14-0</f>
        <v>0.37399912542735636</v>
      </c>
      <c r="M28" s="8"/>
      <c r="P28" s="17" t="s">
        <v>27</v>
      </c>
      <c r="Q28" s="2"/>
      <c r="R28" s="2"/>
      <c r="S28" s="17" t="s">
        <v>2</v>
      </c>
      <c r="T28" s="76">
        <f>U6</f>
        <v>0.125</v>
      </c>
    </row>
    <row r="29" spans="1:21" ht="15.6">
      <c r="A29" s="186" t="s">
        <v>285</v>
      </c>
      <c r="B29" s="187"/>
      <c r="C29" s="187"/>
      <c r="D29" s="188" t="s">
        <v>286</v>
      </c>
      <c r="E29" s="189">
        <f>K33</f>
        <v>0.49535929000361795</v>
      </c>
      <c r="F29" s="175" t="s">
        <v>61</v>
      </c>
      <c r="G29" s="158"/>
      <c r="H29" s="190" t="s">
        <v>287</v>
      </c>
      <c r="I29" s="158"/>
      <c r="J29" s="158"/>
      <c r="K29" s="158">
        <f>T44</f>
        <v>6.25E-2</v>
      </c>
      <c r="L29" s="4"/>
      <c r="M29" s="8"/>
      <c r="P29" s="17" t="s">
        <v>28</v>
      </c>
      <c r="Q29" s="2"/>
      <c r="R29" s="2"/>
      <c r="S29" s="17" t="s">
        <v>3</v>
      </c>
      <c r="T29" s="76">
        <f>U7</f>
        <v>6.25E-2</v>
      </c>
    </row>
    <row r="30" spans="1:21" ht="15.6">
      <c r="A30" s="443" t="s">
        <v>369</v>
      </c>
      <c r="B30" s="444"/>
      <c r="C30" s="444"/>
      <c r="D30" s="444"/>
      <c r="E30" s="444"/>
      <c r="F30" s="444"/>
      <c r="H30" s="183" t="s">
        <v>288</v>
      </c>
      <c r="K30" s="156">
        <f>MIN(1,IF(K28&lt;0.25,0.5,IF(K28&lt;1,0.72*K14^0.5,0.65*K14^0.5)))</f>
        <v>0.44031936889210488</v>
      </c>
      <c r="L30" s="8"/>
      <c r="M30" s="8"/>
      <c r="P30" s="415" t="s">
        <v>29</v>
      </c>
      <c r="Q30" s="416"/>
      <c r="R30" s="417"/>
      <c r="S30" s="421" t="s">
        <v>4</v>
      </c>
      <c r="T30" s="424">
        <f>U8</f>
        <v>8.5999999999999993E-2</v>
      </c>
    </row>
    <row r="31" spans="1:21" ht="15.6">
      <c r="A31" s="7"/>
      <c r="H31" s="183" t="s">
        <v>289</v>
      </c>
      <c r="K31">
        <v>2.9999999999999997E-4</v>
      </c>
      <c r="L31" s="8"/>
      <c r="M31" s="8"/>
      <c r="P31" s="426"/>
      <c r="Q31" s="427"/>
      <c r="R31" s="428"/>
      <c r="S31" s="429"/>
      <c r="T31" s="424"/>
    </row>
    <row r="32" spans="1:21" ht="15.6">
      <c r="A32" s="7"/>
      <c r="H32" s="183" t="s">
        <v>290</v>
      </c>
      <c r="K32" s="184">
        <f>K30*K31/T</f>
        <v>8.8063873778420968E-7</v>
      </c>
      <c r="L32" s="8"/>
      <c r="M32" s="8"/>
      <c r="P32" s="426"/>
      <c r="Q32" s="427"/>
      <c r="R32" s="428"/>
      <c r="S32" s="429"/>
      <c r="T32" s="424"/>
    </row>
    <row r="33" spans="1:20" ht="16.2" thickBot="1">
      <c r="A33" s="5"/>
      <c r="B33" s="148"/>
      <c r="C33" s="148"/>
      <c r="D33" s="148"/>
      <c r="E33" s="148"/>
      <c r="F33" s="148"/>
      <c r="G33" s="148"/>
      <c r="H33" s="191" t="s">
        <v>286</v>
      </c>
      <c r="I33" s="148"/>
      <c r="J33" s="148"/>
      <c r="K33" s="192">
        <f>K29*K32*(Lx*1000)^2</f>
        <v>0.49535929000361795</v>
      </c>
      <c r="L33" s="6" t="s">
        <v>61</v>
      </c>
      <c r="M33" s="8"/>
      <c r="P33" s="418"/>
      <c r="Q33" s="419"/>
      <c r="R33" s="420"/>
      <c r="S33" s="422"/>
      <c r="T33" s="424"/>
    </row>
    <row r="34" spans="1:20">
      <c r="A34" s="7"/>
      <c r="M34" s="8"/>
      <c r="P34" s="415" t="s">
        <v>30</v>
      </c>
      <c r="Q34" s="416"/>
      <c r="R34" s="417"/>
      <c r="S34" s="421" t="s">
        <v>5</v>
      </c>
      <c r="T34" s="423">
        <f>U12</f>
        <v>8.5999999999999993E-2</v>
      </c>
    </row>
    <row r="35" spans="1:20" ht="15.6">
      <c r="A35" s="199" t="s">
        <v>291</v>
      </c>
      <c r="B35" s="178"/>
      <c r="C35" s="178"/>
      <c r="D35" s="185" t="s">
        <v>292</v>
      </c>
      <c r="E35" s="193" t="s">
        <v>105</v>
      </c>
      <c r="F35" s="185" t="s">
        <v>293</v>
      </c>
      <c r="G35" s="177"/>
      <c r="M35" s="8"/>
      <c r="P35" s="418"/>
      <c r="Q35" s="419"/>
      <c r="R35" s="420"/>
      <c r="S35" s="422"/>
      <c r="T35" s="423"/>
    </row>
    <row r="36" spans="1:20">
      <c r="A36" s="7"/>
      <c r="M36" s="8"/>
      <c r="P36" s="415" t="s">
        <v>32</v>
      </c>
      <c r="Q36" s="416"/>
      <c r="R36" s="417"/>
      <c r="S36" s="421" t="s">
        <v>24</v>
      </c>
      <c r="T36" s="423">
        <f>U14</f>
        <v>6.25E-2</v>
      </c>
    </row>
    <row r="37" spans="1:20" ht="15.6">
      <c r="A37" s="200" t="s">
        <v>294</v>
      </c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61"/>
      <c r="P37" s="418"/>
      <c r="Q37" s="419"/>
      <c r="R37" s="420"/>
      <c r="S37" s="422"/>
      <c r="T37" s="423"/>
    </row>
    <row r="38" spans="1:20">
      <c r="A38" s="198" t="s">
        <v>295</v>
      </c>
      <c r="M38" s="8"/>
      <c r="P38" s="415" t="s">
        <v>33</v>
      </c>
      <c r="Q38" s="416"/>
      <c r="R38" s="417"/>
      <c r="S38" s="421" t="s">
        <v>31</v>
      </c>
      <c r="T38" s="423">
        <f>U16</f>
        <v>0.125</v>
      </c>
    </row>
    <row r="39" spans="1:20">
      <c r="A39" s="162" t="s">
        <v>296</v>
      </c>
      <c r="B39">
        <v>1.6</v>
      </c>
      <c r="M39" s="8"/>
      <c r="P39" s="418"/>
      <c r="Q39" s="419"/>
      <c r="R39" s="420"/>
      <c r="S39" s="422"/>
      <c r="T39" s="423"/>
    </row>
    <row r="40" spans="1:20" ht="16.8">
      <c r="A40" s="162" t="s">
        <v>297</v>
      </c>
      <c r="B40" s="59">
        <f>Ec/(1+B39)</f>
        <v>9615.3846153846152</v>
      </c>
      <c r="C40" s="163" t="s">
        <v>65</v>
      </c>
      <c r="M40" s="8"/>
      <c r="P40" s="415" t="s">
        <v>35</v>
      </c>
      <c r="Q40" s="416"/>
      <c r="R40" s="417"/>
      <c r="S40" s="421" t="s">
        <v>34</v>
      </c>
      <c r="T40" s="423">
        <f>U18</f>
        <v>8.5999999999999993E-2</v>
      </c>
    </row>
    <row r="41" spans="1:20" ht="15.6">
      <c r="A41" s="201" t="s">
        <v>294</v>
      </c>
      <c r="B41" s="194">
        <f>E21/E8*E9*F14/B40</f>
        <v>0.55508129843416931</v>
      </c>
      <c r="C41" s="195" t="s">
        <v>61</v>
      </c>
      <c r="D41" s="152"/>
      <c r="E41" s="152"/>
      <c r="F41" s="152"/>
      <c r="G41" s="152"/>
      <c r="H41" s="152"/>
      <c r="I41" s="152"/>
      <c r="J41" s="152"/>
      <c r="K41" s="152"/>
      <c r="L41" s="152"/>
      <c r="M41" s="165"/>
      <c r="P41" s="418"/>
      <c r="Q41" s="419"/>
      <c r="R41" s="420"/>
      <c r="S41" s="422"/>
      <c r="T41" s="423"/>
    </row>
    <row r="42" spans="1:20" ht="13.8" thickBot="1">
      <c r="A42" s="7"/>
      <c r="M42" s="8"/>
    </row>
    <row r="43" spans="1:20" ht="15.6">
      <c r="A43" s="200" t="s">
        <v>298</v>
      </c>
      <c r="B43" s="149"/>
      <c r="C43" s="149"/>
      <c r="D43" s="149"/>
      <c r="E43" s="149"/>
      <c r="F43" s="149"/>
      <c r="G43" s="150"/>
      <c r="M43" s="8"/>
      <c r="P43" s="3" t="s">
        <v>334</v>
      </c>
      <c r="Q43" s="158"/>
      <c r="R43" s="158"/>
      <c r="S43" s="158"/>
      <c r="T43" s="222" t="str">
        <f>Condition</f>
        <v>Cond-4</v>
      </c>
    </row>
    <row r="44" spans="1:20" ht="13.8" thickBot="1">
      <c r="A44" s="162" t="s">
        <v>299</v>
      </c>
      <c r="G44" s="151"/>
      <c r="M44" s="8"/>
      <c r="P44" s="5" t="s">
        <v>335</v>
      </c>
      <c r="Q44" s="148"/>
      <c r="R44" s="148"/>
      <c r="S44" s="148"/>
      <c r="T44" s="224">
        <f>VLOOKUP(T43,S26:T41,2)</f>
        <v>6.25E-2</v>
      </c>
    </row>
    <row r="45" spans="1:20" ht="15.6">
      <c r="A45" s="201" t="s">
        <v>298</v>
      </c>
      <c r="B45" s="194">
        <f>E21/E8*E9</f>
        <v>0.2134928070900651</v>
      </c>
      <c r="C45" s="195" t="s">
        <v>61</v>
      </c>
      <c r="D45" s="152"/>
      <c r="E45" s="152"/>
      <c r="F45" s="152"/>
      <c r="G45" s="153"/>
      <c r="M45" s="8"/>
    </row>
    <row r="46" spans="1:20">
      <c r="A46" s="7"/>
      <c r="M46" s="8"/>
    </row>
    <row r="47" spans="1:20" ht="15.6">
      <c r="A47" s="162" t="s">
        <v>292</v>
      </c>
      <c r="B47" s="202">
        <f>B41-B45</f>
        <v>0.34158849134410418</v>
      </c>
      <c r="C47" s="154" t="s">
        <v>61</v>
      </c>
      <c r="M47" s="8"/>
    </row>
    <row r="48" spans="1:20" ht="13.8" thickBot="1">
      <c r="A48" s="7"/>
      <c r="M48" s="8"/>
    </row>
    <row r="49" spans="1:13" ht="13.8" thickBot="1">
      <c r="A49" s="147" t="s">
        <v>283</v>
      </c>
      <c r="B49" s="207">
        <f>E29+B47</f>
        <v>0.83694778134772219</v>
      </c>
      <c r="C49" s="168" t="s">
        <v>61</v>
      </c>
      <c r="D49" s="144"/>
      <c r="E49" s="144"/>
      <c r="F49" s="144"/>
      <c r="G49" s="145"/>
      <c r="M49" s="8"/>
    </row>
    <row r="50" spans="1:13" ht="13.8" thickBot="1">
      <c r="A50" s="5"/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6"/>
    </row>
    <row r="51" spans="1:13" ht="13.8" thickBot="1"/>
    <row r="52" spans="1:13">
      <c r="A52" s="157" t="s">
        <v>300</v>
      </c>
      <c r="B52" s="167"/>
      <c r="C52" s="167"/>
      <c r="D52" s="167"/>
      <c r="E52" s="167"/>
      <c r="F52" s="167"/>
      <c r="G52" s="204"/>
    </row>
    <row r="53" spans="1:13" ht="13.8" thickBot="1">
      <c r="A53" s="203" t="s">
        <v>301</v>
      </c>
      <c r="B53" s="239">
        <f>E21+B49</f>
        <v>1.142068402639532</v>
      </c>
      <c r="C53" s="205" t="s">
        <v>61</v>
      </c>
      <c r="D53" s="205"/>
      <c r="E53" s="205"/>
      <c r="F53" s="205"/>
      <c r="G53" s="206"/>
    </row>
  </sheetData>
  <sheetProtection sheet="1" objects="1" scenarios="1"/>
  <customSheetViews>
    <customSheetView guid="{3E488D02-432F-45E5-90FE-5CD6FBA7363A}" scale="118" showPageBreaks="1" view="pageBreakPreview">
      <selection activeCell="A18" sqref="A18:G19"/>
      <pageMargins left="0.75" right="0.75" top="1" bottom="1" header="0.5" footer="0.5"/>
      <pageSetup orientation="portrait" horizontalDpi="300" verticalDpi="300" r:id="rId1"/>
      <headerFooter alignWithMargins="0"/>
    </customSheetView>
    <customSheetView guid="{4C8449F4-FC56-4876-869E-F955C2C5C3AD}" scale="118" showPageBreaks="1" view="pageBreakPreview" topLeftCell="A19">
      <selection activeCell="A18" sqref="A18:G19"/>
      <pageMargins left="0.75" right="0.75" top="1" bottom="1" header="0.5" footer="0.5"/>
      <pageSetup orientation="portrait" horizontalDpi="300" verticalDpi="300" r:id="rId2"/>
      <headerFooter alignWithMargins="0"/>
    </customSheetView>
    <customSheetView guid="{473AD2C1-50BF-11D4-AB98-94419A57BB4E}" showRuler="0">
      <pageMargins left="0.75" right="0.75" top="1" bottom="1" header="0.5" footer="0.5"/>
      <headerFooter alignWithMargins="0"/>
    </customSheetView>
    <customSheetView guid="{98368B2C-A6FC-4203-B15D-14B77BE18A81}" scale="85">
      <selection activeCell="Y29" sqref="Y29"/>
      <pageMargins left="0.75" right="0.75" top="1" bottom="1" header="0.5" footer="0.5"/>
      <pageSetup orientation="portrait" horizontalDpi="300" verticalDpi="300" r:id="rId3"/>
      <headerFooter alignWithMargins="0"/>
    </customSheetView>
    <customSheetView guid="{406DF1FF-9BFC-4168-AE00-7162E8A7C8EF}" scale="85">
      <selection activeCell="D36" sqref="D36"/>
      <pageMargins left="0.75" right="0.75" top="1" bottom="1" header="0.5" footer="0.5"/>
      <pageSetup orientation="portrait" horizontalDpi="300" verticalDpi="300" r:id="rId4"/>
      <headerFooter alignWithMargins="0"/>
    </customSheetView>
    <customSheetView guid="{8CD552DE-766B-42EA-A3A9-EF771D2E49CF}" scale="118" showPageBreaks="1" view="pageBreakPreview" topLeftCell="B18">
      <selection activeCell="D36" sqref="D36"/>
      <pageMargins left="0.75" right="0.75" top="1" bottom="1" header="0.5" footer="0.5"/>
      <pageSetup orientation="portrait" horizontalDpi="300" verticalDpi="300" r:id="rId5"/>
      <headerFooter alignWithMargins="0"/>
    </customSheetView>
    <customSheetView guid="{9CE232CD-A92E-403C-887B-19AF1B853CD5}" scale="118" showPageBreaks="1" view="pageBreakPreview" topLeftCell="A26">
      <selection activeCell="A18" sqref="A18:G19"/>
      <pageMargins left="0.75" right="0.75" top="1" bottom="1" header="0.5" footer="0.5"/>
      <pageSetup orientation="portrait" horizontalDpi="300" verticalDpi="300" r:id="rId6"/>
      <headerFooter alignWithMargins="0"/>
    </customSheetView>
    <customSheetView guid="{6A6F7507-5F1B-4B90-A3F8-107D205DF2BA}" scale="118" showPageBreaks="1" view="pageBreakPreview">
      <selection activeCell="A18" sqref="A18:G19"/>
      <pageMargins left="0.75" right="0.75" top="1" bottom="1" header="0.5" footer="0.5"/>
      <pageSetup orientation="portrait" horizontalDpi="300" verticalDpi="300" r:id="rId7"/>
      <headerFooter alignWithMargins="0"/>
    </customSheetView>
  </customSheetViews>
  <mergeCells count="53">
    <mergeCell ref="U18:U19"/>
    <mergeCell ref="A30:F30"/>
    <mergeCell ref="U8:U11"/>
    <mergeCell ref="U12:U13"/>
    <mergeCell ref="U14:U15"/>
    <mergeCell ref="U16:U17"/>
    <mergeCell ref="L8:M8"/>
    <mergeCell ref="L9:M9"/>
    <mergeCell ref="H24:J24"/>
    <mergeCell ref="S14:S15"/>
    <mergeCell ref="H23:J23"/>
    <mergeCell ref="A18:G19"/>
    <mergeCell ref="H13:J13"/>
    <mergeCell ref="H12:J12"/>
    <mergeCell ref="P18:R19"/>
    <mergeCell ref="H14:J14"/>
    <mergeCell ref="A1:L1"/>
    <mergeCell ref="E15:F15"/>
    <mergeCell ref="P14:R15"/>
    <mergeCell ref="P3:R3"/>
    <mergeCell ref="A8:D8"/>
    <mergeCell ref="P8:R11"/>
    <mergeCell ref="A12:G12"/>
    <mergeCell ref="P5:R5"/>
    <mergeCell ref="L7:M7"/>
    <mergeCell ref="T8:T11"/>
    <mergeCell ref="T12:T13"/>
    <mergeCell ref="T14:T15"/>
    <mergeCell ref="S8:S11"/>
    <mergeCell ref="P12:R13"/>
    <mergeCell ref="S12:S13"/>
    <mergeCell ref="P27:R27"/>
    <mergeCell ref="P30:R33"/>
    <mergeCell ref="S30:S33"/>
    <mergeCell ref="M11:O11"/>
    <mergeCell ref="P36:R37"/>
    <mergeCell ref="S36:S37"/>
    <mergeCell ref="P16:R17"/>
    <mergeCell ref="P34:R35"/>
    <mergeCell ref="T36:T37"/>
    <mergeCell ref="S16:S17"/>
    <mergeCell ref="S18:S19"/>
    <mergeCell ref="T30:T33"/>
    <mergeCell ref="T18:T19"/>
    <mergeCell ref="T16:T17"/>
    <mergeCell ref="S34:S35"/>
    <mergeCell ref="T34:T35"/>
    <mergeCell ref="P38:R39"/>
    <mergeCell ref="S38:S39"/>
    <mergeCell ref="T38:T39"/>
    <mergeCell ref="P40:R41"/>
    <mergeCell ref="S40:S41"/>
    <mergeCell ref="T40:T41"/>
  </mergeCells>
  <phoneticPr fontId="0" type="noConversion"/>
  <pageMargins left="0.75" right="0.75" top="1" bottom="1" header="0.5" footer="0.5"/>
  <pageSetup orientation="portrait" horizontalDpi="300" verticalDpi="300" r:id="rId8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/>
  <dimension ref="A1:H41"/>
  <sheetViews>
    <sheetView view="pageBreakPreview" zoomScale="118" zoomScaleNormal="100" zoomScaleSheetLayoutView="118" workbookViewId="0">
      <selection activeCell="F30" sqref="F30"/>
    </sheetView>
  </sheetViews>
  <sheetFormatPr defaultRowHeight="13.2"/>
  <cols>
    <col min="4" max="4" width="11.88671875" customWidth="1"/>
    <col min="5" max="8" width="9.5546875" bestFit="1" customWidth="1"/>
  </cols>
  <sheetData>
    <row r="1" spans="1:8">
      <c r="A1" s="460" t="s">
        <v>354</v>
      </c>
      <c r="B1" s="461"/>
      <c r="C1" s="461"/>
      <c r="D1" s="461"/>
      <c r="E1" s="461"/>
      <c r="F1" s="461"/>
      <c r="G1" s="461"/>
      <c r="H1" s="462"/>
    </row>
    <row r="2" spans="1:8">
      <c r="A2" s="107" t="s">
        <v>141</v>
      </c>
      <c r="B2" s="14"/>
      <c r="C2" s="14"/>
      <c r="D2" s="14"/>
      <c r="E2" s="14"/>
      <c r="F2" s="14"/>
      <c r="G2" s="14"/>
      <c r="H2" s="40"/>
    </row>
    <row r="3" spans="1:8">
      <c r="A3" s="107" t="s">
        <v>135</v>
      </c>
      <c r="B3" s="14"/>
      <c r="C3" s="14"/>
      <c r="D3" s="14">
        <f>Ly</f>
        <v>4</v>
      </c>
      <c r="E3" s="14" t="s">
        <v>60</v>
      </c>
      <c r="F3" s="14"/>
      <c r="G3" s="14"/>
      <c r="H3" s="40"/>
    </row>
    <row r="4" spans="1:8">
      <c r="A4" s="107" t="s">
        <v>136</v>
      </c>
      <c r="B4" s="14"/>
      <c r="C4" s="14"/>
      <c r="D4" s="14">
        <f>Lx</f>
        <v>3</v>
      </c>
      <c r="E4" s="14" t="s">
        <v>60</v>
      </c>
      <c r="F4" s="14"/>
      <c r="G4" s="14"/>
      <c r="H4" s="40"/>
    </row>
    <row r="5" spans="1:8">
      <c r="A5" s="107" t="s">
        <v>355</v>
      </c>
      <c r="B5" s="14"/>
      <c r="C5" s="14"/>
      <c r="D5" s="14">
        <f>ratio</f>
        <v>1.3333333333333333</v>
      </c>
      <c r="E5" s="14"/>
      <c r="F5" s="14"/>
      <c r="G5" s="14"/>
      <c r="H5" s="40"/>
    </row>
    <row r="6" spans="1:8">
      <c r="A6" s="107" t="s">
        <v>162</v>
      </c>
      <c r="B6" s="14"/>
      <c r="C6" s="14"/>
      <c r="D6" s="15" t="str">
        <f>Condition</f>
        <v>Cond-4</v>
      </c>
      <c r="E6" s="14"/>
      <c r="F6" s="14"/>
      <c r="G6" s="14"/>
      <c r="H6" s="40"/>
    </row>
    <row r="7" spans="1:8">
      <c r="A7" s="465" t="s">
        <v>138</v>
      </c>
      <c r="B7" s="466"/>
      <c r="C7" s="466"/>
      <c r="D7" s="16">
        <f>IF(ratio&gt;2,1,2)</f>
        <v>2</v>
      </c>
      <c r="E7" s="14" t="s">
        <v>139</v>
      </c>
      <c r="F7" s="14"/>
      <c r="G7" s="14"/>
      <c r="H7" s="40"/>
    </row>
    <row r="8" spans="1:8">
      <c r="A8" s="107"/>
      <c r="B8" s="14"/>
      <c r="C8" s="14"/>
      <c r="D8" s="14"/>
      <c r="E8" s="14"/>
      <c r="F8" s="14"/>
      <c r="G8" s="14"/>
      <c r="H8" s="40"/>
    </row>
    <row r="9" spans="1:8">
      <c r="A9" s="107" t="s">
        <v>140</v>
      </c>
      <c r="B9" s="14"/>
      <c r="C9" s="14"/>
      <c r="D9" s="14"/>
      <c r="E9" s="14"/>
      <c r="F9" s="14"/>
      <c r="G9" s="14"/>
      <c r="H9" s="40"/>
    </row>
    <row r="10" spans="1:8">
      <c r="A10" s="54"/>
      <c r="B10" s="17"/>
      <c r="C10" s="17"/>
      <c r="D10" s="17" t="s">
        <v>143</v>
      </c>
      <c r="E10" s="271" t="s">
        <v>153</v>
      </c>
      <c r="F10" s="395"/>
      <c r="G10" s="19" t="s">
        <v>156</v>
      </c>
      <c r="H10" s="125" t="s">
        <v>158</v>
      </c>
    </row>
    <row r="11" spans="1:8">
      <c r="A11" s="54"/>
      <c r="B11" s="17"/>
      <c r="C11" s="17"/>
      <c r="D11" s="17" t="s">
        <v>142</v>
      </c>
      <c r="E11" s="17" t="s">
        <v>154</v>
      </c>
      <c r="F11" s="21" t="s">
        <v>155</v>
      </c>
      <c r="G11" s="22" t="s">
        <v>157</v>
      </c>
      <c r="H11" s="245" t="s">
        <v>159</v>
      </c>
    </row>
    <row r="12" spans="1:8">
      <c r="A12" s="267" t="s">
        <v>145</v>
      </c>
      <c r="B12" s="268"/>
      <c r="C12" s="268"/>
      <c r="D12" s="256">
        <v>23</v>
      </c>
      <c r="E12" s="256">
        <v>23</v>
      </c>
      <c r="F12" s="257">
        <f>E12*MF</f>
        <v>46</v>
      </c>
      <c r="G12" s="23">
        <f>Lx*1000/F12</f>
        <v>65.217391304347828</v>
      </c>
      <c r="H12" s="246" t="s">
        <v>160</v>
      </c>
    </row>
    <row r="13" spans="1:8">
      <c r="A13" s="267" t="s">
        <v>144</v>
      </c>
      <c r="B13" s="268"/>
      <c r="C13" s="268"/>
      <c r="D13" s="256">
        <v>23</v>
      </c>
      <c r="E13" s="256">
        <v>23</v>
      </c>
      <c r="F13" s="257">
        <f>E13*MF</f>
        <v>46</v>
      </c>
      <c r="G13" s="23">
        <f>Lx*1000/F13</f>
        <v>65.217391304347828</v>
      </c>
      <c r="H13" s="246" t="s">
        <v>1</v>
      </c>
    </row>
    <row r="14" spans="1:8">
      <c r="A14" s="240" t="s">
        <v>150</v>
      </c>
      <c r="B14" s="103"/>
      <c r="C14" s="103"/>
      <c r="D14" s="16"/>
      <c r="E14" s="14"/>
      <c r="F14" s="14"/>
      <c r="G14" s="14"/>
      <c r="H14" s="40"/>
    </row>
    <row r="15" spans="1:8">
      <c r="A15" s="240"/>
      <c r="B15" s="103"/>
      <c r="C15" s="103"/>
      <c r="D15" s="16"/>
      <c r="E15" s="14"/>
      <c r="F15" s="14"/>
      <c r="G15" s="14"/>
      <c r="H15" s="40"/>
    </row>
    <row r="16" spans="1:8">
      <c r="A16" s="240"/>
      <c r="B16" s="103"/>
      <c r="C16" s="103"/>
      <c r="D16" s="16"/>
      <c r="E16" s="14"/>
      <c r="F16" s="14"/>
      <c r="G16" s="14"/>
      <c r="H16" s="40"/>
    </row>
    <row r="17" spans="1:8">
      <c r="A17" s="240"/>
      <c r="B17" s="103"/>
      <c r="C17" s="103"/>
      <c r="D17" s="16"/>
      <c r="E17" s="14"/>
      <c r="F17" s="14"/>
      <c r="G17" s="14"/>
      <c r="H17" s="40"/>
    </row>
    <row r="18" spans="1:8">
      <c r="A18" s="240"/>
      <c r="B18" s="103"/>
      <c r="C18" s="103"/>
      <c r="D18" s="16"/>
      <c r="E18" s="14"/>
      <c r="F18" s="14"/>
      <c r="G18" s="14"/>
      <c r="H18" s="40"/>
    </row>
    <row r="19" spans="1:8">
      <c r="A19" s="240"/>
      <c r="B19" s="103"/>
      <c r="C19" s="103"/>
      <c r="D19" s="16"/>
      <c r="E19" s="14"/>
      <c r="F19" s="14"/>
      <c r="G19" s="14"/>
      <c r="H19" s="40"/>
    </row>
    <row r="20" spans="1:8">
      <c r="A20" s="240"/>
      <c r="B20" s="103"/>
      <c r="C20" s="103"/>
      <c r="D20" s="16"/>
      <c r="E20" s="14"/>
      <c r="F20" s="14"/>
      <c r="G20" s="14"/>
      <c r="H20" s="40"/>
    </row>
    <row r="21" spans="1:8">
      <c r="A21" s="240"/>
      <c r="B21" s="103"/>
      <c r="C21" s="103"/>
      <c r="D21" s="16"/>
      <c r="E21" s="14"/>
      <c r="F21" s="14"/>
      <c r="G21" s="14"/>
      <c r="H21" s="40"/>
    </row>
    <row r="22" spans="1:8">
      <c r="A22" s="240"/>
      <c r="B22" s="103"/>
      <c r="C22" s="103"/>
      <c r="D22" s="16"/>
      <c r="E22" s="14"/>
      <c r="F22" s="14"/>
      <c r="G22" s="14"/>
      <c r="H22" s="40"/>
    </row>
    <row r="23" spans="1:8" ht="13.8" thickBot="1">
      <c r="A23" s="234"/>
      <c r="B23" s="220"/>
      <c r="C23" s="220"/>
      <c r="D23" s="220"/>
      <c r="E23" s="220"/>
      <c r="F23" s="220"/>
      <c r="G23" s="220"/>
      <c r="H23" s="126"/>
    </row>
    <row r="24" spans="1:8">
      <c r="A24" s="467"/>
      <c r="B24" s="468"/>
      <c r="C24" s="468"/>
      <c r="D24" s="469"/>
      <c r="E24" s="388" t="s">
        <v>83</v>
      </c>
      <c r="F24" s="388"/>
      <c r="G24" s="388" t="s">
        <v>82</v>
      </c>
      <c r="H24" s="474"/>
    </row>
    <row r="25" spans="1:8">
      <c r="A25" s="470"/>
      <c r="B25" s="398"/>
      <c r="C25" s="398"/>
      <c r="D25" s="471"/>
      <c r="E25" s="17" t="s">
        <v>84</v>
      </c>
      <c r="F25" s="17" t="s">
        <v>85</v>
      </c>
      <c r="G25" s="17" t="s">
        <v>86</v>
      </c>
      <c r="H25" s="64" t="s">
        <v>85</v>
      </c>
    </row>
    <row r="26" spans="1:8">
      <c r="A26" s="267" t="s">
        <v>146</v>
      </c>
      <c r="B26" s="268"/>
      <c r="C26" s="268"/>
      <c r="D26" s="268"/>
      <c r="E26" s="23">
        <f>Ast_sh_span</f>
        <v>195.90266450590215</v>
      </c>
      <c r="F26" s="23">
        <f>Ast_sh_supp</f>
        <v>268.433507184392</v>
      </c>
      <c r="G26" s="23">
        <f>Ast_ln_span</f>
        <v>155.54074346288417</v>
      </c>
      <c r="H26" s="65">
        <f>Ast_ln_supp</f>
        <v>0</v>
      </c>
    </row>
    <row r="27" spans="1:8">
      <c r="A27" s="267" t="s">
        <v>147</v>
      </c>
      <c r="B27" s="268"/>
      <c r="C27" s="268"/>
      <c r="D27" s="268"/>
      <c r="E27" s="18">
        <f>'Design of Slab'!C36</f>
        <v>10</v>
      </c>
      <c r="F27" s="18">
        <f>'Design of Slab'!D36</f>
        <v>10</v>
      </c>
      <c r="G27" s="18">
        <f>'Design of Slab'!E36</f>
        <v>10</v>
      </c>
      <c r="H27" s="66">
        <f>'Design of Slab'!F36</f>
        <v>10</v>
      </c>
    </row>
    <row r="28" spans="1:8">
      <c r="A28" s="267" t="s">
        <v>125</v>
      </c>
      <c r="B28" s="268"/>
      <c r="C28" s="268"/>
      <c r="D28" s="268"/>
      <c r="E28" s="18">
        <f>'Design of Slab'!C40</f>
        <v>175</v>
      </c>
      <c r="F28" s="18">
        <f>'Design of Slab'!D40</f>
        <v>175</v>
      </c>
      <c r="G28" s="18">
        <f>'Design of Slab'!E40</f>
        <v>175</v>
      </c>
      <c r="H28" s="66">
        <f>'Design of Slab'!F40</f>
        <v>175</v>
      </c>
    </row>
    <row r="29" spans="1:8">
      <c r="A29" s="267" t="s">
        <v>148</v>
      </c>
      <c r="B29" s="268"/>
      <c r="C29" s="268"/>
      <c r="D29" s="268"/>
      <c r="E29" s="23">
        <f>(PI()/4*E27^2*1000/E28)</f>
        <v>448.79895051282762</v>
      </c>
      <c r="F29" s="23">
        <f>(PI()/4*F27^2*1000/F28)</f>
        <v>448.79895051282762</v>
      </c>
      <c r="G29" s="23">
        <f>(PI()/4*G27^2*1000/G28)</f>
        <v>448.79895051282762</v>
      </c>
      <c r="H29" s="65">
        <f>(PI()/4*H27^2*1000/H28)</f>
        <v>448.79895051282762</v>
      </c>
    </row>
    <row r="30" spans="1:8">
      <c r="A30" s="267" t="s">
        <v>149</v>
      </c>
      <c r="B30" s="268"/>
      <c r="C30" s="268"/>
      <c r="D30" s="268"/>
      <c r="E30" s="24">
        <f>E26/E29</f>
        <v>0.43650428389382528</v>
      </c>
      <c r="F30" s="24">
        <f>F26/F29</f>
        <v>0.59811527383845697</v>
      </c>
      <c r="G30" s="24">
        <f>G26/G29</f>
        <v>0.34657109444028988</v>
      </c>
      <c r="H30" s="244">
        <f>H26/H29</f>
        <v>0</v>
      </c>
    </row>
    <row r="31" spans="1:8">
      <c r="A31" s="267" t="s">
        <v>352</v>
      </c>
      <c r="B31" s="268"/>
      <c r="C31" s="268"/>
      <c r="D31" s="268"/>
      <c r="E31" s="477">
        <f>E30</f>
        <v>0.43650428389382528</v>
      </c>
      <c r="F31" s="477"/>
      <c r="G31" s="477"/>
      <c r="H31" s="478"/>
    </row>
    <row r="32" spans="1:8">
      <c r="A32" s="267" t="s">
        <v>353</v>
      </c>
      <c r="B32" s="268"/>
      <c r="C32" s="268"/>
      <c r="D32" s="268"/>
      <c r="E32" s="472">
        <f>0.58*fy*E31</f>
        <v>126.58624232920933</v>
      </c>
      <c r="F32" s="472"/>
      <c r="G32" s="472"/>
      <c r="H32" s="473"/>
    </row>
    <row r="33" spans="1:8">
      <c r="A33" s="267" t="s">
        <v>151</v>
      </c>
      <c r="B33" s="268"/>
      <c r="C33" s="268"/>
      <c r="D33" s="268"/>
      <c r="E33" s="472">
        <f>E29</f>
        <v>448.79895051282762</v>
      </c>
      <c r="F33" s="472"/>
      <c r="G33" s="472"/>
      <c r="H33" s="473"/>
    </row>
    <row r="34" spans="1:8">
      <c r="A34" s="267" t="s">
        <v>152</v>
      </c>
      <c r="B34" s="268"/>
      <c r="C34" s="268"/>
      <c r="D34" s="268"/>
      <c r="E34" s="463">
        <f>MAX(MIN(1/(0.225+0.00322*fs-0.625*LOG10(b*d/(100*Ast))),2),0.65)</f>
        <v>2</v>
      </c>
      <c r="F34" s="463"/>
      <c r="G34" s="463"/>
      <c r="H34" s="464"/>
    </row>
    <row r="35" spans="1:8">
      <c r="A35" s="107"/>
      <c r="B35" s="14"/>
      <c r="C35" s="14"/>
      <c r="D35" s="14"/>
      <c r="E35" s="14"/>
      <c r="F35" s="14"/>
      <c r="G35" s="14"/>
      <c r="H35" s="40"/>
    </row>
    <row r="36" spans="1:8">
      <c r="A36" s="267" t="s">
        <v>161</v>
      </c>
      <c r="B36" s="268"/>
      <c r="C36" s="268"/>
      <c r="D36" s="268"/>
      <c r="E36" s="404">
        <f>IF(Condition="Cond-2",F13,F12)</f>
        <v>46</v>
      </c>
      <c r="F36" s="404"/>
      <c r="G36" s="404"/>
      <c r="H36" s="479"/>
    </row>
    <row r="37" spans="1:8">
      <c r="A37" s="267" t="s">
        <v>163</v>
      </c>
      <c r="B37" s="268"/>
      <c r="C37" s="268"/>
      <c r="D37" s="268"/>
      <c r="E37" s="404">
        <f>Lx*1000/E36</f>
        <v>65.217391304347828</v>
      </c>
      <c r="F37" s="404"/>
      <c r="G37" s="404"/>
      <c r="H37" s="479"/>
    </row>
    <row r="38" spans="1:8" ht="13.8" thickBot="1">
      <c r="A38" s="322" t="s">
        <v>164</v>
      </c>
      <c r="B38" s="323"/>
      <c r="C38" s="323"/>
      <c r="D38" s="323"/>
      <c r="E38" s="475">
        <f>E37+(T-d)</f>
        <v>95.217391304347828</v>
      </c>
      <c r="F38" s="475"/>
      <c r="G38" s="475"/>
      <c r="H38" s="476"/>
    </row>
    <row r="39" spans="1:8">
      <c r="A39" s="14"/>
      <c r="B39" s="14"/>
      <c r="C39" s="14"/>
      <c r="D39" s="14"/>
      <c r="E39" s="14"/>
      <c r="F39" s="14"/>
      <c r="G39" s="14"/>
      <c r="H39" s="14"/>
    </row>
    <row r="40" spans="1:8">
      <c r="A40" s="14"/>
      <c r="B40" s="14"/>
      <c r="C40" s="14"/>
      <c r="D40" s="14"/>
      <c r="E40" s="14"/>
      <c r="F40" s="14"/>
      <c r="G40" s="14"/>
      <c r="H40" s="14"/>
    </row>
    <row r="41" spans="1:8">
      <c r="A41" s="14"/>
      <c r="B41" s="14"/>
      <c r="C41" s="14"/>
      <c r="D41" s="14"/>
      <c r="E41" s="14"/>
      <c r="F41" s="14"/>
      <c r="G41" s="14"/>
      <c r="H41" s="14"/>
    </row>
  </sheetData>
  <customSheetViews>
    <customSheetView guid="{3E488D02-432F-45E5-90FE-5CD6FBA7363A}" scale="118" showPageBreaks="1" view="pageBreakPreview">
      <selection activeCell="F30" sqref="F30"/>
      <pageMargins left="0.75" right="0.75" top="1" bottom="1" header="0.5" footer="0.5"/>
      <pageSetup scale="95" orientation="portrait" horizontalDpi="4294967294" r:id="rId1"/>
      <headerFooter alignWithMargins="0"/>
    </customSheetView>
    <customSheetView guid="{4C8449F4-FC56-4876-869E-F955C2C5C3AD}" scale="118" showPageBreaks="1" view="pageBreakPreview">
      <selection activeCell="F30" sqref="F30"/>
      <pageMargins left="0.75" right="0.75" top="1" bottom="1" header="0.5" footer="0.5"/>
      <pageSetup scale="95" orientation="portrait" horizontalDpi="4294967294" r:id="rId2"/>
      <headerFooter alignWithMargins="0"/>
    </customSheetView>
    <customSheetView guid="{473AD2C1-50BF-11D4-AB98-94419A57BB4E}" state="hidden" showRuler="0">
      <selection activeCell="E26" sqref="E26"/>
      <pageMargins left="0.75" right="0.75" top="1" bottom="1" header="0.5" footer="0.5"/>
      <headerFooter alignWithMargins="0"/>
    </customSheetView>
    <customSheetView guid="{98368B2C-A6FC-4203-B15D-14B77BE18A81}">
      <selection activeCell="E12" sqref="E12"/>
      <pageMargins left="0.75" right="0.75" top="1" bottom="1" header="0.5" footer="0.5"/>
      <pageSetup orientation="portrait" horizontalDpi="4294967294" r:id="rId3"/>
      <headerFooter alignWithMargins="0"/>
    </customSheetView>
    <customSheetView guid="{406DF1FF-9BFC-4168-AE00-7162E8A7C8EF}">
      <selection activeCell="K18" sqref="K18"/>
      <pageMargins left="0.75" right="0.75" top="1" bottom="1" header="0.5" footer="0.5"/>
      <pageSetup orientation="portrait" horizontalDpi="4294967294" r:id="rId4"/>
      <headerFooter alignWithMargins="0"/>
    </customSheetView>
    <customSheetView guid="{8CD552DE-766B-42EA-A3A9-EF771D2E49CF}" scale="118" showPageBreaks="1" view="pageBreakPreview" topLeftCell="A10">
      <selection activeCell="F30" sqref="F30"/>
      <pageMargins left="0.75" right="0.75" top="1" bottom="1" header="0.5" footer="0.5"/>
      <pageSetup scale="95" orientation="portrait" horizontalDpi="4294967294" r:id="rId5"/>
      <headerFooter alignWithMargins="0"/>
    </customSheetView>
    <customSheetView guid="{9CE232CD-A92E-403C-887B-19AF1B853CD5}" scale="118" showPageBreaks="1" view="pageBreakPreview" topLeftCell="A13">
      <selection activeCell="F30" sqref="F30"/>
      <pageMargins left="0.75" right="0.75" top="1" bottom="1" header="0.5" footer="0.5"/>
      <pageSetup scale="95" orientation="portrait" horizontalDpi="4294967294" r:id="rId6"/>
      <headerFooter alignWithMargins="0"/>
    </customSheetView>
    <customSheetView guid="{6A6F7507-5F1B-4B90-A3F8-107D205DF2BA}" scale="118" showPageBreaks="1" view="pageBreakPreview">
      <selection activeCell="F30" sqref="F30"/>
      <pageMargins left="0.75" right="0.75" top="1" bottom="1" header="0.5" footer="0.5"/>
      <pageSetup scale="95" orientation="portrait" horizontalDpi="4294967294" r:id="rId7"/>
      <headerFooter alignWithMargins="0"/>
    </customSheetView>
  </customSheetViews>
  <mergeCells count="27">
    <mergeCell ref="A38:D38"/>
    <mergeCell ref="E38:H38"/>
    <mergeCell ref="A29:D29"/>
    <mergeCell ref="A30:D30"/>
    <mergeCell ref="A31:D31"/>
    <mergeCell ref="E31:H31"/>
    <mergeCell ref="A37:D37"/>
    <mergeCell ref="E37:H37"/>
    <mergeCell ref="A32:D32"/>
    <mergeCell ref="E32:H32"/>
    <mergeCell ref="A36:D36"/>
    <mergeCell ref="E36:H36"/>
    <mergeCell ref="A1:H1"/>
    <mergeCell ref="A34:D34"/>
    <mergeCell ref="E34:H34"/>
    <mergeCell ref="E10:F10"/>
    <mergeCell ref="A7:C7"/>
    <mergeCell ref="A12:C12"/>
    <mergeCell ref="A13:C13"/>
    <mergeCell ref="A24:D25"/>
    <mergeCell ref="A33:D33"/>
    <mergeCell ref="E33:H33"/>
    <mergeCell ref="G24:H24"/>
    <mergeCell ref="A26:D26"/>
    <mergeCell ref="E24:F24"/>
    <mergeCell ref="A27:D27"/>
    <mergeCell ref="A28:D28"/>
  </mergeCells>
  <phoneticPr fontId="0" type="noConversion"/>
  <pageMargins left="0.75" right="0.75" top="1" bottom="1" header="0.5" footer="0.5"/>
  <pageSetup scale="95" orientation="portrait" horizontalDpi="4294967294" r:id="rId8"/>
  <headerFooter alignWithMargins="0"/>
  <drawing r:id="rId9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J52"/>
  <sheetViews>
    <sheetView view="pageBreakPreview" zoomScale="136" zoomScaleNormal="100" zoomScaleSheetLayoutView="136" workbookViewId="0">
      <selection activeCell="F41" sqref="F41"/>
    </sheetView>
  </sheetViews>
  <sheetFormatPr defaultRowHeight="13.2"/>
  <cols>
    <col min="6" max="6" width="12.44140625" customWidth="1"/>
    <col min="7" max="9" width="10.5546875" bestFit="1" customWidth="1"/>
  </cols>
  <sheetData>
    <row r="1" spans="1:10">
      <c r="A1" s="14" t="s">
        <v>91</v>
      </c>
      <c r="B1" s="14"/>
      <c r="C1" s="14"/>
      <c r="D1" s="14"/>
      <c r="E1" s="14"/>
      <c r="F1" s="14"/>
      <c r="G1" s="14"/>
      <c r="H1" s="14"/>
      <c r="I1" s="14"/>
      <c r="J1" s="14"/>
    </row>
    <row r="2" spans="1:10">
      <c r="A2" s="14"/>
      <c r="B2" s="14"/>
      <c r="C2" s="14"/>
      <c r="D2" s="14"/>
      <c r="E2" s="14"/>
      <c r="F2" s="14"/>
      <c r="G2" s="14"/>
      <c r="H2" s="14"/>
      <c r="I2" s="14"/>
      <c r="J2" s="14"/>
    </row>
    <row r="3" spans="1:10">
      <c r="A3" s="387" t="s">
        <v>92</v>
      </c>
      <c r="B3" s="387"/>
      <c r="C3" s="387"/>
      <c r="D3" s="14">
        <f>MAX(Mu_sh_span, Mu_sh_supp, Mu_ln_span,Mu_ln_supp)</f>
        <v>13.261724999999998</v>
      </c>
      <c r="E3" s="14" t="s">
        <v>94</v>
      </c>
      <c r="F3" s="14"/>
      <c r="G3" s="14"/>
      <c r="H3" s="14"/>
      <c r="I3" s="14"/>
      <c r="J3" s="14"/>
    </row>
    <row r="4" spans="1:10">
      <c r="A4" s="387" t="s">
        <v>93</v>
      </c>
      <c r="B4" s="387"/>
      <c r="C4" s="387"/>
      <c r="D4" s="14">
        <v>1000</v>
      </c>
      <c r="E4" s="14" t="s">
        <v>61</v>
      </c>
      <c r="F4" s="14"/>
      <c r="G4" s="14"/>
      <c r="H4" s="14"/>
      <c r="I4" s="14"/>
      <c r="J4" s="14"/>
    </row>
    <row r="5" spans="1:10">
      <c r="A5" s="387" t="s">
        <v>95</v>
      </c>
      <c r="B5" s="387"/>
      <c r="C5" s="387"/>
      <c r="D5" s="14">
        <f>T</f>
        <v>150</v>
      </c>
      <c r="E5" s="14" t="s">
        <v>61</v>
      </c>
      <c r="F5" s="14"/>
      <c r="G5" s="14"/>
      <c r="H5" s="14"/>
      <c r="I5" s="14"/>
      <c r="J5" s="14"/>
    </row>
    <row r="6" spans="1:10">
      <c r="A6" s="387" t="s">
        <v>96</v>
      </c>
      <c r="B6" s="387"/>
      <c r="C6" s="387"/>
      <c r="D6" s="14">
        <f>cover</f>
        <v>25</v>
      </c>
      <c r="E6" s="14" t="s">
        <v>61</v>
      </c>
      <c r="F6" s="14"/>
      <c r="G6" s="14"/>
      <c r="H6" s="14"/>
      <c r="I6" s="14"/>
      <c r="J6" s="14"/>
    </row>
    <row r="7" spans="1:10">
      <c r="A7" s="387" t="s">
        <v>106</v>
      </c>
      <c r="B7" s="387"/>
      <c r="C7" s="387"/>
      <c r="D7" s="25">
        <f>Es</f>
        <v>200000</v>
      </c>
      <c r="E7" s="14" t="s">
        <v>97</v>
      </c>
      <c r="F7" s="14"/>
      <c r="G7" s="14"/>
      <c r="H7" s="14"/>
      <c r="I7" s="14"/>
      <c r="J7" s="14"/>
    </row>
    <row r="8" spans="1:10">
      <c r="A8" s="387" t="s">
        <v>107</v>
      </c>
      <c r="B8" s="387"/>
      <c r="C8" s="387"/>
      <c r="D8" s="26">
        <f>fy</f>
        <v>500</v>
      </c>
      <c r="E8" s="14" t="s">
        <v>97</v>
      </c>
      <c r="F8" s="14"/>
      <c r="G8" s="14"/>
      <c r="H8" s="14"/>
      <c r="I8" s="14"/>
      <c r="J8" s="14"/>
    </row>
    <row r="9" spans="1:10">
      <c r="A9" s="387" t="s">
        <v>109</v>
      </c>
      <c r="B9" s="387"/>
      <c r="C9" s="387"/>
      <c r="D9" s="26">
        <f>fck</f>
        <v>25</v>
      </c>
      <c r="E9" s="14" t="s">
        <v>97</v>
      </c>
      <c r="F9" s="14"/>
      <c r="G9" s="14"/>
      <c r="H9" s="14"/>
      <c r="I9" s="14"/>
      <c r="J9" s="14"/>
    </row>
    <row r="10" spans="1:10">
      <c r="A10" s="14"/>
      <c r="B10" s="14"/>
      <c r="C10" s="14"/>
      <c r="D10" s="14"/>
      <c r="E10" s="14"/>
      <c r="F10" s="14"/>
      <c r="G10" s="14"/>
      <c r="H10" s="14"/>
      <c r="I10" s="14"/>
      <c r="J10" s="14"/>
    </row>
    <row r="11" spans="1:10">
      <c r="A11" s="14" t="s">
        <v>98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 ht="13.8" thickBot="1">
      <c r="A12" s="14"/>
      <c r="B12" s="14"/>
      <c r="C12" s="14"/>
      <c r="D12" s="14"/>
      <c r="E12" s="14"/>
      <c r="F12" s="14"/>
      <c r="G12" s="14"/>
      <c r="H12" s="14"/>
      <c r="I12" s="14"/>
      <c r="J12" s="14"/>
    </row>
    <row r="13" spans="1:10" ht="13.8" thickBot="1">
      <c r="A13" s="482" t="s">
        <v>100</v>
      </c>
      <c r="B13" s="483"/>
      <c r="C13" s="483"/>
      <c r="D13" s="483"/>
      <c r="E13" s="483"/>
      <c r="F13" s="483"/>
      <c r="G13" s="483"/>
      <c r="H13" s="484"/>
      <c r="I13" s="14"/>
      <c r="J13" s="14"/>
    </row>
    <row r="14" spans="1:10">
      <c r="A14" s="27" t="s">
        <v>165</v>
      </c>
      <c r="B14" s="28"/>
      <c r="C14" s="28"/>
      <c r="D14" s="28"/>
      <c r="E14" s="29">
        <f>0.36*fck*xul_coeff*(1-0.416*xul_coeff)</f>
        <v>3.3256331632165859</v>
      </c>
      <c r="F14" s="28" t="s">
        <v>166</v>
      </c>
      <c r="G14" s="30">
        <f>xul_coeff</f>
        <v>0.45602605863192186</v>
      </c>
      <c r="H14" s="28"/>
      <c r="I14" s="14"/>
      <c r="J14" s="14"/>
    </row>
    <row r="15" spans="1:10">
      <c r="A15" s="31" t="s">
        <v>168</v>
      </c>
      <c r="B15" s="32"/>
      <c r="C15" s="32"/>
      <c r="D15" s="32"/>
      <c r="E15" s="33">
        <f>SQRT(Mumax*1000000/(E14*b))</f>
        <v>63.148470752122016</v>
      </c>
      <c r="F15" s="31" t="s">
        <v>61</v>
      </c>
      <c r="G15" s="253" t="s">
        <v>376</v>
      </c>
      <c r="H15" s="28"/>
      <c r="I15" s="14"/>
      <c r="J15" s="14"/>
    </row>
    <row r="16" spans="1:10">
      <c r="A16" s="485" t="s">
        <v>167</v>
      </c>
      <c r="B16" s="485"/>
      <c r="C16" s="485"/>
      <c r="D16" s="485"/>
      <c r="E16" s="32">
        <f>(IF(Condition="cond-2",'Deflection control'!E13,'Deflection control'!E12))*1.5</f>
        <v>34.5</v>
      </c>
      <c r="F16" s="34" t="s">
        <v>170</v>
      </c>
      <c r="G16" s="14"/>
      <c r="H16" s="14"/>
      <c r="I16" s="14"/>
      <c r="J16" s="14"/>
    </row>
    <row r="17" spans="1:10">
      <c r="A17" s="31" t="s">
        <v>169</v>
      </c>
      <c r="B17" s="31"/>
      <c r="C17" s="31"/>
      <c r="D17" s="31"/>
      <c r="E17" s="35">
        <f>Lx*1000/E16</f>
        <v>86.956521739130437</v>
      </c>
      <c r="F17" s="36" t="s">
        <v>61</v>
      </c>
      <c r="G17" s="254" t="s">
        <v>377</v>
      </c>
      <c r="H17" s="14"/>
      <c r="I17" s="14"/>
      <c r="J17" s="14"/>
    </row>
    <row r="18" spans="1:10">
      <c r="A18" s="31" t="s">
        <v>378</v>
      </c>
      <c r="B18" s="31"/>
      <c r="C18" s="31"/>
      <c r="D18" s="31"/>
      <c r="E18" s="35">
        <f>ShearCheck!J19</f>
        <v>41.120587460484714</v>
      </c>
      <c r="F18" s="36" t="s">
        <v>61</v>
      </c>
      <c r="G18" s="254" t="s">
        <v>379</v>
      </c>
      <c r="H18" s="14"/>
      <c r="I18" s="14"/>
      <c r="J18" s="14"/>
    </row>
    <row r="19" spans="1:10">
      <c r="A19" s="485" t="s">
        <v>164</v>
      </c>
      <c r="B19" s="485"/>
      <c r="C19" s="485"/>
      <c r="D19" s="485"/>
      <c r="E19" s="35">
        <f>MAX(E15,E17,E18)+(cover+5)</f>
        <v>116.95652173913044</v>
      </c>
      <c r="F19" s="36" t="s">
        <v>61</v>
      </c>
      <c r="G19" s="14"/>
      <c r="H19" s="14"/>
      <c r="I19" s="14"/>
      <c r="J19" s="14"/>
    </row>
    <row r="20" spans="1:10">
      <c r="A20" s="481" t="s">
        <v>99</v>
      </c>
      <c r="B20" s="481"/>
      <c r="C20" s="481"/>
      <c r="D20" s="37">
        <f>deff_1</f>
        <v>120</v>
      </c>
      <c r="E20" s="37" t="s">
        <v>61</v>
      </c>
      <c r="F20" s="37" t="s">
        <v>175</v>
      </c>
      <c r="G20" s="14"/>
      <c r="H20" s="14"/>
      <c r="I20" s="14"/>
      <c r="J20" s="14"/>
    </row>
    <row r="21" spans="1:10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0">
      <c r="A22" s="14" t="s">
        <v>101</v>
      </c>
      <c r="B22" s="14"/>
      <c r="C22" s="14"/>
      <c r="D22" s="14"/>
      <c r="E22" s="14"/>
      <c r="F22" s="14"/>
      <c r="G22" s="14"/>
      <c r="H22" s="14"/>
      <c r="I22" s="14" t="s">
        <v>102</v>
      </c>
      <c r="J22" s="14"/>
    </row>
    <row r="23" spans="1:10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4" spans="1:10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spans="1:10">
      <c r="A25" s="14"/>
      <c r="B25" s="14"/>
      <c r="C25" s="14"/>
      <c r="D25" s="14"/>
      <c r="E25" s="14"/>
      <c r="F25" s="14"/>
      <c r="G25" s="14"/>
      <c r="H25" s="14"/>
      <c r="I25" s="14"/>
      <c r="J25" s="14"/>
    </row>
    <row r="26" spans="1:10">
      <c r="A26" s="14"/>
      <c r="B26" s="14"/>
      <c r="C26" s="14"/>
      <c r="D26" s="14"/>
      <c r="E26" s="14"/>
      <c r="F26" s="14"/>
      <c r="G26" s="14"/>
      <c r="H26" s="14"/>
      <c r="I26" s="14"/>
      <c r="J26" s="14"/>
    </row>
    <row r="27" spans="1:10">
      <c r="A27" s="14"/>
      <c r="B27" s="14"/>
      <c r="C27" s="14"/>
      <c r="D27" s="14"/>
      <c r="E27" s="14"/>
      <c r="F27" s="14"/>
      <c r="G27" s="14"/>
      <c r="H27" s="14"/>
      <c r="I27" s="14"/>
      <c r="J27" s="14"/>
    </row>
    <row r="28" spans="1:10">
      <c r="A28" s="14"/>
      <c r="B28" s="14"/>
      <c r="C28" s="14"/>
      <c r="D28" s="14"/>
      <c r="E28" s="14"/>
      <c r="F28" s="14"/>
      <c r="G28" s="14"/>
      <c r="H28" s="14" t="s">
        <v>103</v>
      </c>
      <c r="I28" s="14"/>
      <c r="J28" s="14"/>
    </row>
    <row r="29" spans="1:10">
      <c r="A29" s="14"/>
      <c r="B29" s="14"/>
      <c r="C29" s="14"/>
      <c r="D29" s="14"/>
      <c r="E29" s="14"/>
      <c r="F29" s="14"/>
      <c r="G29" s="14"/>
      <c r="H29" s="480" t="s">
        <v>104</v>
      </c>
      <c r="I29" s="480"/>
      <c r="J29" s="14"/>
    </row>
    <row r="30" spans="1:10">
      <c r="A30" s="14"/>
      <c r="B30" s="14"/>
      <c r="C30" s="15" t="s">
        <v>105</v>
      </c>
      <c r="D30" s="14">
        <f>(0.0035/(0.0055+0.87*fy/Es))</f>
        <v>0.45602605863192186</v>
      </c>
      <c r="E30" s="38" t="s">
        <v>108</v>
      </c>
      <c r="F30" s="14"/>
      <c r="G30" s="14"/>
      <c r="H30" s="14"/>
      <c r="I30" s="14"/>
      <c r="J30" s="14"/>
    </row>
    <row r="31" spans="1:10">
      <c r="A31" s="14"/>
      <c r="B31" s="14"/>
      <c r="C31" s="15" t="s">
        <v>105</v>
      </c>
      <c r="D31" s="14">
        <f>xul_coeff*deff</f>
        <v>54.723127035830622</v>
      </c>
      <c r="E31" s="14" t="s">
        <v>61</v>
      </c>
      <c r="F31" s="14"/>
      <c r="G31" s="14"/>
      <c r="H31" s="14"/>
      <c r="I31" s="14"/>
      <c r="J31" s="14"/>
    </row>
    <row r="32" spans="1:10">
      <c r="A32" s="14"/>
      <c r="B32" s="14"/>
      <c r="C32" s="14"/>
      <c r="D32" s="14"/>
      <c r="E32" s="14"/>
      <c r="F32" s="14"/>
      <c r="G32" s="14"/>
      <c r="H32" s="14"/>
      <c r="I32" s="14"/>
      <c r="J32" s="14"/>
    </row>
    <row r="33" spans="1:10">
      <c r="A33" s="14" t="s">
        <v>110</v>
      </c>
      <c r="B33" s="14">
        <f>0.36*fck*b*xul*(d-0.416*xul)/1000000</f>
        <v>47.889117550318836</v>
      </c>
      <c r="C33" s="14" t="s">
        <v>94</v>
      </c>
      <c r="D33" s="14"/>
      <c r="E33" s="14"/>
      <c r="F33" s="14"/>
      <c r="G33" s="14"/>
      <c r="H33" s="14"/>
      <c r="I33" s="14"/>
      <c r="J33" s="14"/>
    </row>
    <row r="34" spans="1:10" ht="13.8" thickBot="1">
      <c r="A34" s="14" t="s">
        <v>111</v>
      </c>
      <c r="B34" s="14" t="str">
        <f>IF(Mul=Mumax,"It has been designed as balanced section",IF(Mul&gt;Mumax," It has been designed as under-reinforced section",
IF(Mul&lt; Mumax, " It is becoming over-reinforced section, so increase the depth")))</f>
        <v xml:space="preserve"> It has been designed as under-reinforced section</v>
      </c>
      <c r="C34" s="14"/>
      <c r="D34" s="14"/>
      <c r="E34" s="14"/>
      <c r="F34" s="14"/>
      <c r="G34" s="14"/>
      <c r="H34" s="14"/>
      <c r="I34" s="14"/>
      <c r="J34" s="14"/>
    </row>
    <row r="35" spans="1:10" ht="13.8" thickBot="1">
      <c r="A35" s="14" t="s">
        <v>129</v>
      </c>
      <c r="B35" s="39" t="str">
        <f>IF(Mul&gt;=Mumax,"Y", "N")</f>
        <v>Y</v>
      </c>
      <c r="C35" s="14"/>
      <c r="D35" s="14"/>
      <c r="E35" s="14"/>
      <c r="F35" s="14"/>
      <c r="G35" s="14"/>
      <c r="H35" s="14"/>
      <c r="I35" s="14"/>
      <c r="J35" s="14"/>
    </row>
    <row r="36" spans="1:10">
      <c r="A36" s="14"/>
      <c r="B36" s="14"/>
      <c r="C36" s="14"/>
      <c r="D36" s="14"/>
      <c r="E36" s="14"/>
      <c r="F36" s="271" t="s">
        <v>83</v>
      </c>
      <c r="G36" s="271"/>
      <c r="H36" s="271" t="s">
        <v>82</v>
      </c>
      <c r="I36" s="271"/>
      <c r="J36" s="14"/>
    </row>
    <row r="37" spans="1:10">
      <c r="A37" s="14"/>
      <c r="B37" s="14"/>
      <c r="C37" s="14"/>
      <c r="D37" s="14"/>
      <c r="E37" s="14"/>
      <c r="F37" s="17" t="s">
        <v>84</v>
      </c>
      <c r="G37" s="17" t="s">
        <v>85</v>
      </c>
      <c r="H37" s="17" t="s">
        <v>86</v>
      </c>
      <c r="I37" s="17" t="s">
        <v>85</v>
      </c>
      <c r="J37" s="14"/>
    </row>
    <row r="38" spans="1:10">
      <c r="A38" s="14"/>
      <c r="B38" s="14"/>
      <c r="C38" s="387" t="s">
        <v>130</v>
      </c>
      <c r="D38" s="387"/>
      <c r="E38" s="488"/>
      <c r="F38" s="18">
        <f>'Design of Slab'!C36</f>
        <v>10</v>
      </c>
      <c r="G38" s="18">
        <f>'Design of Slab'!D36</f>
        <v>10</v>
      </c>
      <c r="H38" s="18">
        <f>'Design of Slab'!E36</f>
        <v>10</v>
      </c>
      <c r="I38" s="18">
        <f>'Design of Slab'!F36</f>
        <v>10</v>
      </c>
      <c r="J38" s="14"/>
    </row>
    <row r="39" spans="1:10">
      <c r="A39" s="14"/>
      <c r="B39" s="14"/>
      <c r="C39" s="387" t="s">
        <v>131</v>
      </c>
      <c r="D39" s="387"/>
      <c r="E39" s="488"/>
      <c r="F39" s="18">
        <v>10</v>
      </c>
      <c r="G39" s="18">
        <v>10</v>
      </c>
      <c r="H39" s="18">
        <v>10</v>
      </c>
      <c r="I39" s="18">
        <v>10</v>
      </c>
      <c r="J39" s="14"/>
    </row>
    <row r="40" spans="1:10">
      <c r="A40" s="14"/>
      <c r="B40" s="14"/>
      <c r="C40" s="387" t="s">
        <v>132</v>
      </c>
      <c r="D40" s="387"/>
      <c r="E40" s="488"/>
      <c r="F40" s="18">
        <f>IF(F38&gt;0,F38,F39)</f>
        <v>10</v>
      </c>
      <c r="G40" s="18">
        <f>IF(G38&gt;0,G38,G39)</f>
        <v>10</v>
      </c>
      <c r="H40" s="18">
        <f>IF(H38&gt;0,H38,H39)</f>
        <v>10</v>
      </c>
      <c r="I40" s="18">
        <f>IF(I38&gt;0,I38,I39)</f>
        <v>10</v>
      </c>
      <c r="J40" s="14"/>
    </row>
    <row r="41" spans="1:10">
      <c r="A41" s="14"/>
      <c r="B41" s="14"/>
      <c r="C41" s="398" t="s">
        <v>133</v>
      </c>
      <c r="D41" s="398"/>
      <c r="E41" s="471"/>
      <c r="F41" s="18">
        <f>T-cover-F40/2</f>
        <v>120</v>
      </c>
      <c r="G41" s="18">
        <f>T-cover-G40/2-G40</f>
        <v>110</v>
      </c>
      <c r="H41" s="18">
        <f>T-cover-F40-H40/2</f>
        <v>110</v>
      </c>
      <c r="I41" s="18">
        <f>T-cover-I40/2-I40</f>
        <v>110</v>
      </c>
      <c r="J41" s="14"/>
    </row>
    <row r="42" spans="1:10">
      <c r="A42" s="268" t="s">
        <v>112</v>
      </c>
      <c r="B42" s="268"/>
      <c r="C42" s="268"/>
      <c r="D42" s="268"/>
      <c r="E42" s="268"/>
      <c r="F42" s="17">
        <f>Mu_sh_span</f>
        <v>9.8900999999999986</v>
      </c>
      <c r="G42" s="17">
        <f>Mu_sh_supp</f>
        <v>13.261724999999998</v>
      </c>
      <c r="H42" s="17">
        <f>Mu_ln_span</f>
        <v>7.8671250000000006</v>
      </c>
      <c r="I42" s="17">
        <f>Mu_ln_supp</f>
        <v>0</v>
      </c>
      <c r="J42" s="14"/>
    </row>
    <row r="43" spans="1:10">
      <c r="A43" s="386" t="s">
        <v>113</v>
      </c>
      <c r="B43" s="387"/>
      <c r="C43" s="387"/>
      <c r="D43" s="387"/>
      <c r="E43" s="387"/>
      <c r="F43" s="14"/>
      <c r="G43" s="14"/>
      <c r="H43" s="14"/>
      <c r="I43" s="40"/>
      <c r="J43" s="14"/>
    </row>
    <row r="44" spans="1:10">
      <c r="A44" s="465" t="s">
        <v>114</v>
      </c>
      <c r="B44" s="466"/>
      <c r="C44" s="466"/>
      <c r="D44" s="466"/>
      <c r="E44" s="466"/>
      <c r="F44" s="41">
        <f>SQRT(1.4446-6.67735*F42*1000000/(fck*b*deff_1^2))</f>
        <v>1.1230122448686837</v>
      </c>
      <c r="G44" s="41">
        <f>SQRT(1.4446-6.67735*G42*1000000/(fck*b*deff_2^2))</f>
        <v>1.0732484413053964</v>
      </c>
      <c r="H44" s="41">
        <f>SQRT(1.4446-6.67735*H42*1000000/(fck*b*deff_3^2))</f>
        <v>1.1273606312958901</v>
      </c>
      <c r="I44" s="42">
        <f>SQRT(1.4446-6.67735*I42*1000000/(fck*b*deff_4^2))</f>
        <v>1.2019151384353224</v>
      </c>
      <c r="J44" s="14"/>
    </row>
    <row r="45" spans="1:10">
      <c r="A45" s="465" t="s">
        <v>115</v>
      </c>
      <c r="B45" s="466"/>
      <c r="C45" s="466"/>
      <c r="D45" s="466"/>
      <c r="E45" s="466"/>
      <c r="F45" s="41">
        <f>1.202+F44</f>
        <v>2.3250122448686836</v>
      </c>
      <c r="G45" s="41">
        <f>1.202+G44</f>
        <v>2.2752484413053962</v>
      </c>
      <c r="H45" s="41">
        <f>1.202+H44</f>
        <v>2.3293606312958901</v>
      </c>
      <c r="I45" s="42">
        <f>1.202+I44</f>
        <v>2.4039151384353223</v>
      </c>
      <c r="J45" s="14"/>
    </row>
    <row r="46" spans="1:10">
      <c r="A46" s="465" t="s">
        <v>116</v>
      </c>
      <c r="B46" s="466"/>
      <c r="C46" s="466"/>
      <c r="D46" s="466"/>
      <c r="E46" s="466"/>
      <c r="F46" s="41">
        <f>1.202-F44</f>
        <v>7.8987755131316284E-2</v>
      </c>
      <c r="G46" s="41">
        <f>1.202-G44</f>
        <v>0.12875155869460353</v>
      </c>
      <c r="H46" s="41">
        <f>1.202-H44</f>
        <v>7.463936870410981E-2</v>
      </c>
      <c r="I46" s="42">
        <f>1.202-I44</f>
        <v>8.4861564677574108E-5</v>
      </c>
      <c r="J46" s="14"/>
    </row>
    <row r="47" spans="1:10">
      <c r="A47" s="465" t="s">
        <v>117</v>
      </c>
      <c r="B47" s="466"/>
      <c r="C47" s="466"/>
      <c r="D47" s="466"/>
      <c r="E47" s="466"/>
      <c r="F47" s="41">
        <f>MIN(F45,F46)</f>
        <v>7.8987755131316284E-2</v>
      </c>
      <c r="G47" s="41">
        <f>MIN(G45,G46)</f>
        <v>0.12875155869460353</v>
      </c>
      <c r="H47" s="41">
        <f>MIN(H45,H46)</f>
        <v>7.463936870410981E-2</v>
      </c>
      <c r="I47" s="42">
        <f>MIN(I45,I46)</f>
        <v>8.4861564677574108E-5</v>
      </c>
      <c r="J47" s="14"/>
    </row>
    <row r="48" spans="1:10" ht="13.8" thickBot="1">
      <c r="A48" s="486" t="s">
        <v>118</v>
      </c>
      <c r="B48" s="487"/>
      <c r="C48" s="487"/>
      <c r="D48" s="487"/>
      <c r="E48" s="487"/>
      <c r="F48" s="43">
        <f>F47*d</f>
        <v>9.4785306157579541</v>
      </c>
      <c r="G48" s="43">
        <f>G47*d</f>
        <v>15.450187043352424</v>
      </c>
      <c r="H48" s="43">
        <f>H47*d</f>
        <v>8.9567242444931772</v>
      </c>
      <c r="I48" s="44">
        <f>I47*d</f>
        <v>1.0183387761308893E-2</v>
      </c>
      <c r="J48" s="14"/>
    </row>
    <row r="49" spans="1:10">
      <c r="A49" s="466" t="s">
        <v>119</v>
      </c>
      <c r="B49" s="466"/>
      <c r="C49" s="466"/>
      <c r="D49" s="466"/>
      <c r="E49" s="466"/>
      <c r="F49" s="45">
        <f>IF(Check="Y",F42*1000000/(0.87*fy*(d-0.416*F48)),"Remarks")</f>
        <v>195.90266450590215</v>
      </c>
      <c r="G49" s="45">
        <f>IF(Check="Y",G42*1000000/(0.87*fy*(d-0.416*G48)),"Remarks")</f>
        <v>268.433507184392</v>
      </c>
      <c r="H49" s="45">
        <f>IF(Check="Y",H42*1000000/(0.87*fy*(d-0.416*H48)),"Remarks")</f>
        <v>155.54074346288417</v>
      </c>
      <c r="I49" s="45">
        <f>IF(Check="Y",I42*1000000/(0.87*fy*(d-0.416*I48)),"Remarks")</f>
        <v>0</v>
      </c>
      <c r="J49" s="14"/>
    </row>
    <row r="50" spans="1:10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 spans="1:10">
      <c r="A51" s="14" t="s">
        <v>303</v>
      </c>
      <c r="B51" s="14"/>
      <c r="C51" s="14"/>
      <c r="D51" s="14"/>
      <c r="E51" s="14"/>
      <c r="F51" s="14"/>
      <c r="G51" s="14"/>
      <c r="H51" s="14"/>
      <c r="I51" s="14"/>
      <c r="J51" s="14"/>
    </row>
    <row r="52" spans="1:10">
      <c r="A52" s="14"/>
      <c r="B52" s="14"/>
      <c r="C52" s="14"/>
      <c r="D52" s="14"/>
      <c r="E52" s="14"/>
      <c r="F52" s="14"/>
      <c r="G52" s="14"/>
      <c r="H52" s="14"/>
      <c r="I52" s="14"/>
      <c r="J52" s="14"/>
    </row>
  </sheetData>
  <customSheetViews>
    <customSheetView guid="{3E488D02-432F-45E5-90FE-5CD6FBA7363A}" scale="136" showPageBreaks="1" view="pageBreakPreview">
      <selection activeCell="F41" sqref="F41"/>
      <pageMargins left="0.75" right="0.75" top="1" bottom="1" header="0.5" footer="0.5"/>
      <pageSetup orientation="portrait" r:id="rId1"/>
      <headerFooter alignWithMargins="0"/>
    </customSheetView>
    <customSheetView guid="{4C8449F4-FC56-4876-869E-F955C2C5C3AD}" scale="136" showPageBreaks="1" view="pageBreakPreview">
      <selection activeCell="F41" sqref="F41"/>
      <pageMargins left="0.75" right="0.75" top="1" bottom="1" header="0.5" footer="0.5"/>
      <pageSetup orientation="portrait" r:id="rId2"/>
      <headerFooter alignWithMargins="0"/>
    </customSheetView>
    <customSheetView guid="{473AD2C1-50BF-11D4-AB98-94419A57BB4E}" state="hidden" showRuler="0" topLeftCell="A34">
      <selection activeCell="F48" sqref="F48"/>
      <pageMargins left="0.75" right="0.75" top="1" bottom="1" header="0.5" footer="0.5"/>
      <headerFooter alignWithMargins="0"/>
    </customSheetView>
    <customSheetView guid="{98368B2C-A6FC-4203-B15D-14B77BE18A81}" topLeftCell="A10">
      <selection activeCell="B35" sqref="B35"/>
      <pageMargins left="0.75" right="0.75" top="1" bottom="1" header="0.5" footer="0.5"/>
      <pageSetup orientation="portrait" r:id="rId3"/>
      <headerFooter alignWithMargins="0"/>
    </customSheetView>
    <customSheetView guid="{406DF1FF-9BFC-4168-AE00-7162E8A7C8EF}" topLeftCell="A10">
      <selection activeCell="B35" sqref="B35"/>
      <pageMargins left="0.75" right="0.75" top="1" bottom="1" header="0.5" footer="0.5"/>
      <pageSetup orientation="portrait" r:id="rId4"/>
      <headerFooter alignWithMargins="0"/>
    </customSheetView>
    <customSheetView guid="{8CD552DE-766B-42EA-A3A9-EF771D2E49CF}" scale="136" showPageBreaks="1" view="pageBreakPreview">
      <selection activeCell="D20" sqref="D20"/>
      <pageMargins left="0.75" right="0.75" top="1" bottom="1" header="0.5" footer="0.5"/>
      <pageSetup orientation="portrait" r:id="rId5"/>
      <headerFooter alignWithMargins="0"/>
    </customSheetView>
    <customSheetView guid="{9CE232CD-A92E-403C-887B-19AF1B853CD5}" scale="136" showPageBreaks="1" view="pageBreakPreview">
      <selection activeCell="F41" sqref="F41"/>
      <pageMargins left="0.75" right="0.75" top="1" bottom="1" header="0.5" footer="0.5"/>
      <pageSetup orientation="portrait" r:id="rId6"/>
      <headerFooter alignWithMargins="0"/>
    </customSheetView>
    <customSheetView guid="{6A6F7507-5F1B-4B90-A3F8-107D205DF2BA}" scale="136" showPageBreaks="1" view="pageBreakPreview">
      <selection activeCell="F41" sqref="F41"/>
      <pageMargins left="0.75" right="0.75" top="1" bottom="1" header="0.5" footer="0.5"/>
      <pageSetup orientation="portrait" r:id="rId7"/>
      <headerFooter alignWithMargins="0"/>
    </customSheetView>
  </customSheetViews>
  <mergeCells count="26">
    <mergeCell ref="H36:I36"/>
    <mergeCell ref="A42:E42"/>
    <mergeCell ref="A43:E43"/>
    <mergeCell ref="A44:E44"/>
    <mergeCell ref="A45:E45"/>
    <mergeCell ref="A46:E46"/>
    <mergeCell ref="A47:E47"/>
    <mergeCell ref="A48:E48"/>
    <mergeCell ref="A49:E49"/>
    <mergeCell ref="F36:G36"/>
    <mergeCell ref="C38:E38"/>
    <mergeCell ref="C39:E39"/>
    <mergeCell ref="C40:E40"/>
    <mergeCell ref="C41:E41"/>
    <mergeCell ref="H29:I29"/>
    <mergeCell ref="A3:C3"/>
    <mergeCell ref="A4:C4"/>
    <mergeCell ref="A5:C5"/>
    <mergeCell ref="A6:C6"/>
    <mergeCell ref="A7:C7"/>
    <mergeCell ref="A8:C8"/>
    <mergeCell ref="A9:C9"/>
    <mergeCell ref="A20:C20"/>
    <mergeCell ref="A13:H13"/>
    <mergeCell ref="A19:D19"/>
    <mergeCell ref="A16:D16"/>
  </mergeCells>
  <phoneticPr fontId="0" type="noConversion"/>
  <pageMargins left="0.75" right="0.75" top="1" bottom="1" header="0.5" footer="0.5"/>
  <pageSetup orientation="portrait" r:id="rId8"/>
  <headerFooter alignWithMargins="0"/>
  <drawing r:id="rId9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1:Q50"/>
  <sheetViews>
    <sheetView view="pageBreakPreview" topLeftCell="B1" zoomScale="154" zoomScaleNormal="100" zoomScaleSheetLayoutView="154" workbookViewId="0">
      <selection activeCell="P13" sqref="P13"/>
    </sheetView>
  </sheetViews>
  <sheetFormatPr defaultRowHeight="13.2"/>
  <cols>
    <col min="1" max="1" width="30.6640625" customWidth="1"/>
    <col min="2" max="2" width="10.88671875" customWidth="1"/>
    <col min="6" max="6" width="11.5546875" customWidth="1"/>
    <col min="7" max="7" width="11.33203125" customWidth="1"/>
    <col min="8" max="10" width="11" customWidth="1"/>
    <col min="11" max="11" width="11.5546875" customWidth="1"/>
  </cols>
  <sheetData>
    <row r="1" spans="1:17" ht="13.8" thickBot="1">
      <c r="A1" s="501" t="s">
        <v>50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3"/>
      <c r="P1" s="14"/>
      <c r="Q1" s="14"/>
    </row>
    <row r="2" spans="1:17" ht="13.8" thickBot="1">
      <c r="A2" s="14" t="s">
        <v>51</v>
      </c>
      <c r="B2" s="14"/>
      <c r="C2" s="37">
        <f>'Design of Slab'!J13</f>
        <v>1.3333333333333333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>
      <c r="A3" s="14" t="s">
        <v>52</v>
      </c>
      <c r="B3" s="14"/>
      <c r="C3" s="46">
        <f>CEILING((C2-1)*10,1)</f>
        <v>4</v>
      </c>
      <c r="D3" s="507"/>
      <c r="E3" s="397"/>
      <c r="F3" s="504" t="s">
        <v>54</v>
      </c>
      <c r="G3" s="505"/>
      <c r="H3" s="504" t="s">
        <v>58</v>
      </c>
      <c r="I3" s="505"/>
      <c r="J3" s="14"/>
      <c r="K3" s="14"/>
      <c r="L3" s="14"/>
      <c r="M3" s="14"/>
      <c r="N3" s="14"/>
      <c r="O3" s="14"/>
      <c r="P3" s="14"/>
      <c r="Q3" s="14"/>
    </row>
    <row r="4" spans="1:17" ht="26.25" customHeight="1">
      <c r="A4" s="466" t="s">
        <v>53</v>
      </c>
      <c r="B4" s="466"/>
      <c r="C4" s="28" t="str">
        <f>'Design of Slab'!G19</f>
        <v>Cond-4</v>
      </c>
      <c r="D4" s="508"/>
      <c r="E4" s="398"/>
      <c r="F4" s="47" t="s">
        <v>55</v>
      </c>
      <c r="G4" s="48" t="s">
        <v>56</v>
      </c>
      <c r="H4" s="47" t="s">
        <v>55</v>
      </c>
      <c r="I4" s="48" t="s">
        <v>56</v>
      </c>
      <c r="J4" s="14"/>
      <c r="K4" s="14"/>
      <c r="L4" s="14"/>
      <c r="M4" s="14"/>
      <c r="N4" s="14"/>
      <c r="O4" s="14"/>
      <c r="P4" s="14"/>
      <c r="Q4" s="14"/>
    </row>
    <row r="5" spans="1:17" ht="13.8" thickBot="1">
      <c r="A5" s="14"/>
      <c r="B5" s="14"/>
      <c r="C5" s="14"/>
      <c r="D5" s="403" t="s">
        <v>57</v>
      </c>
      <c r="E5" s="506"/>
      <c r="F5" s="49">
        <f>IF(C2&lt;=2,VLOOKUP(C4,B12:O27,C3+2),VLOOKUP(C4,B12:P27,15))</f>
        <v>4.3999999999999997E-2</v>
      </c>
      <c r="G5" s="50">
        <f>IF(C2&lt;=2,VLOOKUP(C4,B34:O49,C3+2),VLOOKUP(C4,B34:P49,15))</f>
        <v>5.8999999999999997E-2</v>
      </c>
      <c r="H5" s="51">
        <f>IF(C2&lt;=2,VLOOKUP(C4,B12:O27,14),0)</f>
        <v>3.5000000000000003E-2</v>
      </c>
      <c r="I5" s="50">
        <f>IF(C2&lt;=2,VLOOKUP(C4,B34:O49,14),0)</f>
        <v>0</v>
      </c>
      <c r="J5" s="14"/>
      <c r="K5" s="14"/>
      <c r="L5" s="14"/>
      <c r="M5" s="14"/>
      <c r="N5" s="14"/>
      <c r="O5" s="14"/>
      <c r="P5" s="14"/>
      <c r="Q5" s="14"/>
    </row>
    <row r="6" spans="1:17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1:17">
      <c r="A7" s="37" t="s">
        <v>137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spans="1:17" ht="13.8" thickBo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7" ht="13.8" thickBot="1">
      <c r="A9" s="509" t="s">
        <v>49</v>
      </c>
      <c r="B9" s="510"/>
      <c r="C9" s="510"/>
      <c r="D9" s="510"/>
      <c r="E9" s="510"/>
      <c r="F9" s="510"/>
      <c r="G9" s="510"/>
      <c r="H9" s="510"/>
      <c r="I9" s="510"/>
      <c r="J9" s="510"/>
      <c r="K9" s="510"/>
      <c r="L9" s="510"/>
      <c r="M9" s="510"/>
      <c r="N9" s="510"/>
      <c r="O9" s="510"/>
      <c r="P9" s="287" t="s">
        <v>302</v>
      </c>
      <c r="Q9" s="14"/>
    </row>
    <row r="10" spans="1:17">
      <c r="A10" s="52"/>
      <c r="B10" s="53"/>
      <c r="C10" s="497" t="s">
        <v>47</v>
      </c>
      <c r="D10" s="362"/>
      <c r="E10" s="362"/>
      <c r="F10" s="362"/>
      <c r="G10" s="362"/>
      <c r="H10" s="362"/>
      <c r="I10" s="362"/>
      <c r="J10" s="362"/>
      <c r="K10" s="362"/>
      <c r="L10" s="362"/>
      <c r="M10" s="362"/>
      <c r="N10" s="362"/>
      <c r="O10" s="362"/>
      <c r="P10" s="287"/>
      <c r="Q10" s="14"/>
    </row>
    <row r="11" spans="1:17">
      <c r="A11" s="54"/>
      <c r="B11" s="17"/>
      <c r="C11" s="17">
        <v>0</v>
      </c>
      <c r="D11" s="17">
        <v>1</v>
      </c>
      <c r="E11" s="17">
        <v>2</v>
      </c>
      <c r="F11" s="17">
        <v>3</v>
      </c>
      <c r="G11" s="17">
        <v>4</v>
      </c>
      <c r="H11" s="17">
        <v>5</v>
      </c>
      <c r="I11" s="17">
        <v>6</v>
      </c>
      <c r="J11" s="17">
        <v>7</v>
      </c>
      <c r="K11" s="17">
        <v>7.5</v>
      </c>
      <c r="L11" s="17">
        <v>8</v>
      </c>
      <c r="M11" s="17">
        <v>9</v>
      </c>
      <c r="N11" s="17">
        <v>10</v>
      </c>
      <c r="O11" s="212">
        <v>11</v>
      </c>
      <c r="P11" s="213">
        <v>12</v>
      </c>
      <c r="Q11" s="14"/>
    </row>
    <row r="12" spans="1:17">
      <c r="A12" s="55" t="str">
        <f>'Support Index'!B7</f>
        <v>All edges discontinuous</v>
      </c>
      <c r="B12" s="17" t="s">
        <v>0</v>
      </c>
      <c r="C12" s="17">
        <v>5.6000000000000001E-2</v>
      </c>
      <c r="D12" s="17">
        <v>6.4000000000000001E-2</v>
      </c>
      <c r="E12" s="17">
        <v>7.1999999999999995E-2</v>
      </c>
      <c r="F12" s="17">
        <v>7.9000000000000001E-2</v>
      </c>
      <c r="G12" s="17">
        <v>8.5000000000000006E-2</v>
      </c>
      <c r="H12" s="17">
        <v>8.8999999999999996E-2</v>
      </c>
      <c r="I12" s="56">
        <f>(K12-H12)/2.5*1+H12</f>
        <v>9.3399999999999997E-2</v>
      </c>
      <c r="J12" s="56">
        <f>(K12-H12)/2.5*2+H12</f>
        <v>9.7799999999999998E-2</v>
      </c>
      <c r="K12" s="17">
        <v>0.1</v>
      </c>
      <c r="L12" s="56">
        <f>(N12-K12)/2.5*0.5+K12</f>
        <v>0.1014</v>
      </c>
      <c r="M12" s="56">
        <f>(N12-K12)/2.5*1.5+K12</f>
        <v>0.1042</v>
      </c>
      <c r="N12" s="17">
        <v>0.107</v>
      </c>
      <c r="O12" s="212">
        <v>5.6000000000000001E-2</v>
      </c>
      <c r="P12" s="214">
        <v>0.125</v>
      </c>
      <c r="Q12" s="14"/>
    </row>
    <row r="13" spans="1:17">
      <c r="A13" s="55" t="str">
        <f>'Support Index'!B8</f>
        <v>All edges  continuous</v>
      </c>
      <c r="B13" s="17" t="s">
        <v>1</v>
      </c>
      <c r="C13" s="17">
        <v>2.4E-2</v>
      </c>
      <c r="D13" s="17">
        <v>2.8000000000000001E-2</v>
      </c>
      <c r="E13" s="17">
        <v>3.2000000000000001E-2</v>
      </c>
      <c r="F13" s="17">
        <v>3.5999999999999997E-2</v>
      </c>
      <c r="G13" s="17">
        <v>3.9E-2</v>
      </c>
      <c r="H13" s="17">
        <v>4.1000000000000002E-2</v>
      </c>
      <c r="I13" s="56">
        <f>(K13-H13)/2.5*1+H13</f>
        <v>4.2599999999999999E-2</v>
      </c>
      <c r="J13" s="56">
        <f>(K13-H13)/2.5*2+H13</f>
        <v>4.4199999999999996E-2</v>
      </c>
      <c r="K13" s="17">
        <v>4.4999999999999998E-2</v>
      </c>
      <c r="L13" s="56">
        <f>(N13-K13)/2.5*0.5+K13</f>
        <v>4.58E-2</v>
      </c>
      <c r="M13" s="56">
        <f>(N13-K13)/2.5*1.5+K13</f>
        <v>4.7399999999999998E-2</v>
      </c>
      <c r="N13" s="17">
        <v>4.9000000000000002E-2</v>
      </c>
      <c r="O13" s="212">
        <v>2.4E-2</v>
      </c>
      <c r="P13" s="214">
        <v>8.3000000000000004E-2</v>
      </c>
      <c r="Q13" s="14"/>
    </row>
    <row r="14" spans="1:17">
      <c r="A14" s="55" t="str">
        <f>'Support Index'!B9</f>
        <v>Two long edges discontinuous</v>
      </c>
      <c r="B14" s="17" t="s">
        <v>2</v>
      </c>
      <c r="C14" s="17">
        <v>3.5000000000000003E-2</v>
      </c>
      <c r="D14" s="17">
        <v>4.2999999999999997E-2</v>
      </c>
      <c r="E14" s="17">
        <v>5.0999999999999997E-2</v>
      </c>
      <c r="F14" s="17">
        <v>5.7000000000000002E-2</v>
      </c>
      <c r="G14" s="17">
        <v>6.3E-2</v>
      </c>
      <c r="H14" s="17">
        <v>6.8000000000000005E-2</v>
      </c>
      <c r="I14" s="56">
        <f>(K14-H14)/2.5*1+H14</f>
        <v>7.2800000000000004E-2</v>
      </c>
      <c r="J14" s="56">
        <f>(K14-H14)/2.5*2+H14</f>
        <v>7.7600000000000002E-2</v>
      </c>
      <c r="K14" s="17">
        <v>0.08</v>
      </c>
      <c r="L14" s="56">
        <f>(N14-K14)/2.5*0.5+K14</f>
        <v>8.1600000000000006E-2</v>
      </c>
      <c r="M14" s="56">
        <f>(N14-K14)/2.5*1.5+K14</f>
        <v>8.48E-2</v>
      </c>
      <c r="N14" s="17">
        <v>8.7999999999999995E-2</v>
      </c>
      <c r="O14" s="212">
        <v>3.5000000000000003E-2</v>
      </c>
      <c r="P14" s="214">
        <v>0.125</v>
      </c>
      <c r="Q14" s="14"/>
    </row>
    <row r="15" spans="1:17">
      <c r="A15" s="55" t="str">
        <f>'Support Index'!B10</f>
        <v>Two short edges discontinuous</v>
      </c>
      <c r="B15" s="17" t="s">
        <v>3</v>
      </c>
      <c r="C15" s="17">
        <v>3.5000000000000003E-2</v>
      </c>
      <c r="D15" s="17">
        <v>3.6999999999999998E-2</v>
      </c>
      <c r="E15" s="17">
        <v>0.04</v>
      </c>
      <c r="F15" s="17">
        <v>4.2999999999999997E-2</v>
      </c>
      <c r="G15" s="17">
        <v>4.3999999999999997E-2</v>
      </c>
      <c r="H15" s="17">
        <v>4.4999999999999998E-2</v>
      </c>
      <c r="I15" s="56">
        <f>(K15-H15)/2.5*1+H15</f>
        <v>4.6600000000000003E-2</v>
      </c>
      <c r="J15" s="56">
        <f>(K15-H15)/2.5*2+H15</f>
        <v>4.82E-2</v>
      </c>
      <c r="K15" s="17">
        <v>4.9000000000000002E-2</v>
      </c>
      <c r="L15" s="56">
        <f>(N15-K15)/2.5*0.5+K15</f>
        <v>4.9599999999999998E-2</v>
      </c>
      <c r="M15" s="56">
        <f>(N15-K15)/2.5*1.5+K15</f>
        <v>5.0799999999999998E-2</v>
      </c>
      <c r="N15" s="17">
        <v>5.1999999999999998E-2</v>
      </c>
      <c r="O15" s="212">
        <v>3.5000000000000003E-2</v>
      </c>
      <c r="P15" s="214">
        <v>8.3000000000000004E-2</v>
      </c>
      <c r="Q15" s="14"/>
    </row>
    <row r="16" spans="1:17">
      <c r="A16" s="373" t="str">
        <f>'Support Index'!B11</f>
        <v>Two adjacent edges discontinuous</v>
      </c>
      <c r="B16" s="378" t="s">
        <v>4</v>
      </c>
      <c r="C16" s="378">
        <v>3.5000000000000003E-2</v>
      </c>
      <c r="D16" s="378">
        <v>0.04</v>
      </c>
      <c r="E16" s="378">
        <v>4.4999999999999998E-2</v>
      </c>
      <c r="F16" s="378">
        <v>4.9000000000000002E-2</v>
      </c>
      <c r="G16" s="378">
        <v>5.2999999999999999E-2</v>
      </c>
      <c r="H16" s="378">
        <v>5.6000000000000001E-2</v>
      </c>
      <c r="I16" s="492">
        <f>(K16-H16)/2.5*1+H16</f>
        <v>5.8799999999999998E-2</v>
      </c>
      <c r="J16" s="492">
        <f>(K16-H16)/2.5*2+H16</f>
        <v>6.1600000000000002E-2</v>
      </c>
      <c r="K16" s="378">
        <v>6.3E-2</v>
      </c>
      <c r="L16" s="492">
        <f>(N16-K16)/2.5*0.5+K16</f>
        <v>6.4200000000000007E-2</v>
      </c>
      <c r="M16" s="492">
        <f>(N16-K16)/2.5*1.5+K16</f>
        <v>6.6600000000000006E-2</v>
      </c>
      <c r="N16" s="378">
        <v>6.9000000000000006E-2</v>
      </c>
      <c r="O16" s="491">
        <v>3.5000000000000003E-2</v>
      </c>
      <c r="P16" s="490">
        <v>0.1</v>
      </c>
      <c r="Q16" s="14"/>
    </row>
    <row r="17" spans="1:17">
      <c r="A17" s="373"/>
      <c r="B17" s="378"/>
      <c r="C17" s="378"/>
      <c r="D17" s="378"/>
      <c r="E17" s="378"/>
      <c r="F17" s="378"/>
      <c r="G17" s="378"/>
      <c r="H17" s="378"/>
      <c r="I17" s="494"/>
      <c r="J17" s="494"/>
      <c r="K17" s="378"/>
      <c r="L17" s="494"/>
      <c r="M17" s="494"/>
      <c r="N17" s="378"/>
      <c r="O17" s="491"/>
      <c r="P17" s="490"/>
      <c r="Q17" s="14"/>
    </row>
    <row r="18" spans="1:17">
      <c r="A18" s="373"/>
      <c r="B18" s="378"/>
      <c r="C18" s="378"/>
      <c r="D18" s="378"/>
      <c r="E18" s="378"/>
      <c r="F18" s="378"/>
      <c r="G18" s="378"/>
      <c r="H18" s="378"/>
      <c r="I18" s="494"/>
      <c r="J18" s="494"/>
      <c r="K18" s="378"/>
      <c r="L18" s="494"/>
      <c r="M18" s="494"/>
      <c r="N18" s="378"/>
      <c r="O18" s="491"/>
      <c r="P18" s="490"/>
      <c r="Q18" s="14"/>
    </row>
    <row r="19" spans="1:17">
      <c r="A19" s="373"/>
      <c r="B19" s="378"/>
      <c r="C19" s="378"/>
      <c r="D19" s="378"/>
      <c r="E19" s="378"/>
      <c r="F19" s="378"/>
      <c r="G19" s="378"/>
      <c r="H19" s="378"/>
      <c r="I19" s="493"/>
      <c r="J19" s="493"/>
      <c r="K19" s="378"/>
      <c r="L19" s="493"/>
      <c r="M19" s="493"/>
      <c r="N19" s="378"/>
      <c r="O19" s="491"/>
      <c r="P19" s="490"/>
      <c r="Q19" s="14"/>
    </row>
    <row r="20" spans="1:17">
      <c r="A20" s="373" t="str">
        <f>'Support Index'!B15</f>
        <v>Only one long edge discontinuous</v>
      </c>
      <c r="B20" s="378" t="s">
        <v>5</v>
      </c>
      <c r="C20" s="378">
        <v>2.8000000000000001E-2</v>
      </c>
      <c r="D20" s="378">
        <v>3.3000000000000002E-2</v>
      </c>
      <c r="E20" s="378">
        <v>3.9E-2</v>
      </c>
      <c r="F20" s="378">
        <v>4.3999999999999997E-2</v>
      </c>
      <c r="G20" s="378">
        <v>4.7E-2</v>
      </c>
      <c r="H20" s="378">
        <v>5.0999999999999997E-2</v>
      </c>
      <c r="I20" s="492">
        <f>(K20-H20)/2.5*1+H20</f>
        <v>5.4199999999999998E-2</v>
      </c>
      <c r="J20" s="492">
        <f>(K20-H20)/2.5*2+H20</f>
        <v>5.74E-2</v>
      </c>
      <c r="K20" s="378">
        <v>5.8999999999999997E-2</v>
      </c>
      <c r="L20" s="492">
        <f>(N20-K20)/2.5*0.5+K20</f>
        <v>6.0199999999999997E-2</v>
      </c>
      <c r="M20" s="492">
        <f>(N20-K20)/2.5*1.5+K20</f>
        <v>6.2600000000000003E-2</v>
      </c>
      <c r="N20" s="378">
        <v>6.5000000000000002E-2</v>
      </c>
      <c r="O20" s="491">
        <v>2.8000000000000001E-2</v>
      </c>
      <c r="P20" s="490">
        <v>0.1</v>
      </c>
      <c r="Q20" s="14"/>
    </row>
    <row r="21" spans="1:17">
      <c r="A21" s="373"/>
      <c r="B21" s="378"/>
      <c r="C21" s="378"/>
      <c r="D21" s="378"/>
      <c r="E21" s="378"/>
      <c r="F21" s="378"/>
      <c r="G21" s="378"/>
      <c r="H21" s="378"/>
      <c r="I21" s="493"/>
      <c r="J21" s="493"/>
      <c r="K21" s="378"/>
      <c r="L21" s="493"/>
      <c r="M21" s="493"/>
      <c r="N21" s="378"/>
      <c r="O21" s="491"/>
      <c r="P21" s="490"/>
      <c r="Q21" s="14"/>
    </row>
    <row r="22" spans="1:17">
      <c r="A22" s="373" t="str">
        <f>'Support Index'!B17</f>
        <v>Only one short edge discontinuous</v>
      </c>
      <c r="B22" s="378" t="s">
        <v>24</v>
      </c>
      <c r="C22" s="378">
        <v>2.8000000000000001E-2</v>
      </c>
      <c r="D22" s="378">
        <v>3.2000000000000001E-2</v>
      </c>
      <c r="E22" s="378">
        <v>3.5999999999999997E-2</v>
      </c>
      <c r="F22" s="378">
        <v>3.9E-2</v>
      </c>
      <c r="G22" s="378">
        <v>4.1000000000000002E-2</v>
      </c>
      <c r="H22" s="378">
        <v>4.3999999999999997E-2</v>
      </c>
      <c r="I22" s="492">
        <f>(K22-H22)/2.5*1+H22</f>
        <v>4.5600000000000002E-2</v>
      </c>
      <c r="J22" s="492">
        <f>(K22-H22)/2.5*2+H22</f>
        <v>4.7199999999999999E-2</v>
      </c>
      <c r="K22" s="378">
        <v>4.8000000000000001E-2</v>
      </c>
      <c r="L22" s="492">
        <f>(N22-K22)/2.5*0.5+K22</f>
        <v>4.8800000000000003E-2</v>
      </c>
      <c r="M22" s="492">
        <f>(N22-K22)/2.5*1.5+K22</f>
        <v>5.04E-2</v>
      </c>
      <c r="N22" s="378">
        <v>5.1999999999999998E-2</v>
      </c>
      <c r="O22" s="491">
        <v>2.8000000000000001E-2</v>
      </c>
      <c r="P22" s="490">
        <v>8.3000000000000004E-2</v>
      </c>
      <c r="Q22" s="14"/>
    </row>
    <row r="23" spans="1:17">
      <c r="A23" s="373"/>
      <c r="B23" s="378"/>
      <c r="C23" s="378"/>
      <c r="D23" s="378"/>
      <c r="E23" s="378"/>
      <c r="F23" s="378"/>
      <c r="G23" s="378"/>
      <c r="H23" s="378"/>
      <c r="I23" s="493"/>
      <c r="J23" s="493"/>
      <c r="K23" s="378"/>
      <c r="L23" s="493"/>
      <c r="M23" s="493"/>
      <c r="N23" s="378"/>
      <c r="O23" s="491"/>
      <c r="P23" s="490"/>
      <c r="Q23" s="14"/>
    </row>
    <row r="24" spans="1:17">
      <c r="A24" s="373" t="str">
        <f>'Support Index'!B21</f>
        <v>Only one short edge continuous</v>
      </c>
      <c r="B24" s="378" t="s">
        <v>31</v>
      </c>
      <c r="C24" s="378">
        <v>4.2999999999999997E-2</v>
      </c>
      <c r="D24" s="378">
        <v>5.0999999999999997E-2</v>
      </c>
      <c r="E24" s="378">
        <v>5.8999999999999997E-2</v>
      </c>
      <c r="F24" s="378">
        <v>6.5000000000000002E-2</v>
      </c>
      <c r="G24" s="378">
        <v>7.0999999999999994E-2</v>
      </c>
      <c r="H24" s="378">
        <v>7.5999999999999998E-2</v>
      </c>
      <c r="I24" s="492">
        <f>(K24-H24)/2.5*1+H24</f>
        <v>8.0399999999999999E-2</v>
      </c>
      <c r="J24" s="492">
        <f>(K24-H24)/2.5*2+H24</f>
        <v>8.48E-2</v>
      </c>
      <c r="K24" s="378">
        <v>8.6999999999999994E-2</v>
      </c>
      <c r="L24" s="492">
        <f>(N24-K24)/2.5*0.5+K24</f>
        <v>8.879999999999999E-2</v>
      </c>
      <c r="M24" s="492">
        <f>(N24-K24)/2.5*1.5+K24</f>
        <v>9.2399999999999996E-2</v>
      </c>
      <c r="N24" s="378">
        <v>9.6000000000000002E-2</v>
      </c>
      <c r="O24" s="491">
        <v>4.2999999999999997E-2</v>
      </c>
      <c r="P24" s="490">
        <v>0.125</v>
      </c>
      <c r="Q24" s="14"/>
    </row>
    <row r="25" spans="1:17">
      <c r="A25" s="373"/>
      <c r="B25" s="378"/>
      <c r="C25" s="378"/>
      <c r="D25" s="378"/>
      <c r="E25" s="378"/>
      <c r="F25" s="378"/>
      <c r="G25" s="378"/>
      <c r="H25" s="378"/>
      <c r="I25" s="493"/>
      <c r="J25" s="493"/>
      <c r="K25" s="378"/>
      <c r="L25" s="493"/>
      <c r="M25" s="493"/>
      <c r="N25" s="378"/>
      <c r="O25" s="491"/>
      <c r="P25" s="490"/>
      <c r="Q25" s="14"/>
    </row>
    <row r="26" spans="1:17">
      <c r="A26" s="373" t="str">
        <f>'Support Index'!B23</f>
        <v>Only one long edge continuous</v>
      </c>
      <c r="B26" s="378" t="s">
        <v>34</v>
      </c>
      <c r="C26" s="378">
        <v>4.2999999999999997E-2</v>
      </c>
      <c r="D26" s="378">
        <v>4.8000000000000001E-2</v>
      </c>
      <c r="E26" s="378">
        <v>5.2999999999999999E-2</v>
      </c>
      <c r="F26" s="378">
        <v>5.7000000000000002E-2</v>
      </c>
      <c r="G26" s="378">
        <v>0.06</v>
      </c>
      <c r="H26" s="378">
        <v>6.4000000000000001E-2</v>
      </c>
      <c r="I26" s="492">
        <f>(K26-H26)/2.5*1+H26</f>
        <v>6.6000000000000003E-2</v>
      </c>
      <c r="J26" s="492">
        <f>(K26-H26)/2.5*2+H26</f>
        <v>6.8000000000000005E-2</v>
      </c>
      <c r="K26" s="378">
        <v>6.9000000000000006E-2</v>
      </c>
      <c r="L26" s="492">
        <f>(N26-K26)/2.5*0.5+K26</f>
        <v>6.9800000000000001E-2</v>
      </c>
      <c r="M26" s="492">
        <f>(N26-K26)/2.5*1.5+K26</f>
        <v>7.1400000000000005E-2</v>
      </c>
      <c r="N26" s="378">
        <v>7.2999999999999995E-2</v>
      </c>
      <c r="O26" s="491">
        <v>4.2999999999999997E-2</v>
      </c>
      <c r="P26" s="490">
        <v>0.1</v>
      </c>
      <c r="Q26" s="14"/>
    </row>
    <row r="27" spans="1:17" ht="13.8" thickBot="1">
      <c r="A27" s="375"/>
      <c r="B27" s="496"/>
      <c r="C27" s="496"/>
      <c r="D27" s="496"/>
      <c r="E27" s="496"/>
      <c r="F27" s="496"/>
      <c r="G27" s="496"/>
      <c r="H27" s="496"/>
      <c r="I27" s="499"/>
      <c r="J27" s="499"/>
      <c r="K27" s="496"/>
      <c r="L27" s="499"/>
      <c r="M27" s="499"/>
      <c r="N27" s="496"/>
      <c r="O27" s="498"/>
      <c r="P27" s="490"/>
      <c r="Q27" s="14"/>
    </row>
    <row r="28" spans="1:17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1:17">
      <c r="A29" s="14"/>
      <c r="B29" s="14"/>
      <c r="C29" s="14" t="s">
        <v>304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 spans="1:17" ht="13.8" thickBo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 spans="1:17" ht="13.8" thickBot="1">
      <c r="A31" s="482" t="s">
        <v>48</v>
      </c>
      <c r="B31" s="483"/>
      <c r="C31" s="483"/>
      <c r="D31" s="483"/>
      <c r="E31" s="483"/>
      <c r="F31" s="483"/>
      <c r="G31" s="483"/>
      <c r="H31" s="483"/>
      <c r="I31" s="483"/>
      <c r="J31" s="483"/>
      <c r="K31" s="483"/>
      <c r="L31" s="483"/>
      <c r="M31" s="483"/>
      <c r="N31" s="483"/>
      <c r="O31" s="483"/>
      <c r="P31" s="287" t="s">
        <v>302</v>
      </c>
      <c r="Q31" s="14"/>
    </row>
    <row r="32" spans="1:17">
      <c r="A32" s="52"/>
      <c r="B32" s="53"/>
      <c r="C32" s="497" t="s">
        <v>47</v>
      </c>
      <c r="D32" s="362"/>
      <c r="E32" s="362"/>
      <c r="F32" s="362"/>
      <c r="G32" s="362"/>
      <c r="H32" s="362"/>
      <c r="I32" s="362"/>
      <c r="J32" s="362"/>
      <c r="K32" s="362"/>
      <c r="L32" s="362"/>
      <c r="M32" s="362"/>
      <c r="N32" s="362"/>
      <c r="O32" s="362"/>
      <c r="P32" s="287"/>
      <c r="Q32" s="14"/>
    </row>
    <row r="33" spans="1:17">
      <c r="A33" s="54"/>
      <c r="B33" s="17"/>
      <c r="C33" s="17">
        <v>0</v>
      </c>
      <c r="D33" s="17">
        <v>1</v>
      </c>
      <c r="E33" s="17">
        <v>2</v>
      </c>
      <c r="F33" s="17">
        <v>3</v>
      </c>
      <c r="G33" s="17">
        <v>4</v>
      </c>
      <c r="H33" s="17">
        <v>5</v>
      </c>
      <c r="I33" s="17">
        <v>6</v>
      </c>
      <c r="J33" s="17">
        <v>7</v>
      </c>
      <c r="K33" s="17">
        <v>7.5</v>
      </c>
      <c r="L33" s="17">
        <v>8</v>
      </c>
      <c r="M33" s="17">
        <v>9</v>
      </c>
      <c r="N33" s="17">
        <v>10</v>
      </c>
      <c r="O33" s="212">
        <v>11</v>
      </c>
      <c r="P33" s="213">
        <v>12</v>
      </c>
      <c r="Q33" s="14"/>
    </row>
    <row r="34" spans="1:17">
      <c r="A34" s="55" t="str">
        <f>A12</f>
        <v>All edges discontinuous</v>
      </c>
      <c r="B34" s="17" t="s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56">
        <f>(K34-H34)/2.5*1+H34</f>
        <v>0</v>
      </c>
      <c r="J34" s="56">
        <f>(K34-H34)/2.5*2+H34</f>
        <v>0</v>
      </c>
      <c r="K34" s="17">
        <v>0</v>
      </c>
      <c r="L34" s="56">
        <f>(N34-K34)/2.5*0.5+K34</f>
        <v>0</v>
      </c>
      <c r="M34" s="56">
        <f>(N34-K34)/2.5*1.5+K34</f>
        <v>0</v>
      </c>
      <c r="N34" s="17">
        <v>0</v>
      </c>
      <c r="O34" s="212">
        <v>0</v>
      </c>
      <c r="P34" s="213">
        <v>0</v>
      </c>
      <c r="Q34" s="14"/>
    </row>
    <row r="35" spans="1:17">
      <c r="A35" s="55" t="str">
        <f>A13</f>
        <v>All edges  continuous</v>
      </c>
      <c r="B35" s="17" t="s">
        <v>1</v>
      </c>
      <c r="C35" s="17">
        <v>3.2000000000000001E-2</v>
      </c>
      <c r="D35" s="17">
        <v>3.6999999999999998E-2</v>
      </c>
      <c r="E35" s="17">
        <v>4.2999999999999997E-2</v>
      </c>
      <c r="F35" s="17">
        <v>4.7E-2</v>
      </c>
      <c r="G35" s="17">
        <v>5.0999999999999997E-2</v>
      </c>
      <c r="H35" s="17">
        <v>5.2999999999999999E-2</v>
      </c>
      <c r="I35" s="56">
        <f>(K35-H35)/2.5*1+H35</f>
        <v>5.5799999999999995E-2</v>
      </c>
      <c r="J35" s="56">
        <f>(K35-H35)/2.5*2+H35</f>
        <v>5.8599999999999999E-2</v>
      </c>
      <c r="K35" s="17">
        <v>0.06</v>
      </c>
      <c r="L35" s="56">
        <f>(N35-K35)/2.5*0.5+K35</f>
        <v>6.0999999999999999E-2</v>
      </c>
      <c r="M35" s="56">
        <f>(N35-K35)/2.5*1.5+K35</f>
        <v>6.3E-2</v>
      </c>
      <c r="N35" s="17">
        <v>6.5000000000000002E-2</v>
      </c>
      <c r="O35" s="212">
        <v>3.2000000000000001E-2</v>
      </c>
      <c r="P35" s="213">
        <v>0.11</v>
      </c>
      <c r="Q35" s="14"/>
    </row>
    <row r="36" spans="1:17">
      <c r="A36" s="55" t="str">
        <f>A14</f>
        <v>Two long edges discontinuous</v>
      </c>
      <c r="B36" s="17" t="s">
        <v>2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56">
        <f>(K36-H36)/2.5*1+H36</f>
        <v>0</v>
      </c>
      <c r="J36" s="56">
        <f>(K36-H36)/2.5*2+H36</f>
        <v>0</v>
      </c>
      <c r="K36" s="17">
        <v>0</v>
      </c>
      <c r="L36" s="56">
        <f>(N36-K36)/2.5*0.5+K36</f>
        <v>0</v>
      </c>
      <c r="M36" s="56">
        <f>(N36-K36)/2.5*1.5+K36</f>
        <v>0</v>
      </c>
      <c r="N36" s="17">
        <v>0</v>
      </c>
      <c r="O36" s="212">
        <v>4.4999999999999998E-2</v>
      </c>
      <c r="P36" s="213">
        <v>0</v>
      </c>
      <c r="Q36" s="14"/>
    </row>
    <row r="37" spans="1:17">
      <c r="A37" s="55" t="str">
        <f>A15</f>
        <v>Two short edges discontinuous</v>
      </c>
      <c r="B37" s="17" t="s">
        <v>3</v>
      </c>
      <c r="C37" s="17">
        <v>4.4999999999999998E-2</v>
      </c>
      <c r="D37" s="17">
        <v>4.9000000000000002E-2</v>
      </c>
      <c r="E37" s="17">
        <v>5.1999999999999998E-2</v>
      </c>
      <c r="F37" s="17">
        <v>5.6000000000000001E-2</v>
      </c>
      <c r="G37" s="17">
        <v>5.8999999999999997E-2</v>
      </c>
      <c r="H37" s="17">
        <v>0.06</v>
      </c>
      <c r="I37" s="56">
        <f>(K37-H37)/2.5*1+H37</f>
        <v>6.2E-2</v>
      </c>
      <c r="J37" s="56">
        <f>(K37-H37)/2.5*2+H37</f>
        <v>6.4000000000000001E-2</v>
      </c>
      <c r="K37" s="17">
        <v>6.5000000000000002E-2</v>
      </c>
      <c r="L37" s="56">
        <f>(N37-K37)/2.5*0.5+K37</f>
        <v>6.5799999999999997E-2</v>
      </c>
      <c r="M37" s="56">
        <f>(N37-K37)/2.5*1.5+K37</f>
        <v>6.7400000000000002E-2</v>
      </c>
      <c r="N37" s="17">
        <v>6.9000000000000006E-2</v>
      </c>
      <c r="O37" s="212">
        <v>0</v>
      </c>
      <c r="P37" s="213">
        <v>0.11</v>
      </c>
      <c r="Q37" s="14"/>
    </row>
    <row r="38" spans="1:17">
      <c r="A38" s="373" t="str">
        <f>A16</f>
        <v>Two adjacent edges discontinuous</v>
      </c>
      <c r="B38" s="378" t="s">
        <v>4</v>
      </c>
      <c r="C38" s="378">
        <v>4.7E-2</v>
      </c>
      <c r="D38" s="378">
        <v>5.2999999999999999E-2</v>
      </c>
      <c r="E38" s="378">
        <v>0.06</v>
      </c>
      <c r="F38" s="378">
        <v>6.5000000000000002E-2</v>
      </c>
      <c r="G38" s="378">
        <v>7.0999999999999994E-2</v>
      </c>
      <c r="H38" s="378">
        <v>7.4999999999999997E-2</v>
      </c>
      <c r="I38" s="492">
        <f>(K38-H38)/2.5*1+H38</f>
        <v>7.8600000000000003E-2</v>
      </c>
      <c r="J38" s="492">
        <f>(K38-H38)/2.5*2+H38</f>
        <v>8.2200000000000009E-2</v>
      </c>
      <c r="K38" s="378">
        <v>8.4000000000000005E-2</v>
      </c>
      <c r="L38" s="492">
        <f>(N38-K38)/2.5*0.5+K38</f>
        <v>8.5400000000000004E-2</v>
      </c>
      <c r="M38" s="492">
        <f>(N38-K38)/2.5*1.5+K38</f>
        <v>8.8200000000000001E-2</v>
      </c>
      <c r="N38" s="378">
        <v>9.0999999999999998E-2</v>
      </c>
      <c r="O38" s="495">
        <v>4.7E-2</v>
      </c>
      <c r="P38" s="489">
        <v>0.11</v>
      </c>
      <c r="Q38" s="14"/>
    </row>
    <row r="39" spans="1:17">
      <c r="A39" s="373"/>
      <c r="B39" s="378"/>
      <c r="C39" s="378"/>
      <c r="D39" s="378"/>
      <c r="E39" s="378"/>
      <c r="F39" s="378"/>
      <c r="G39" s="378"/>
      <c r="H39" s="378"/>
      <c r="I39" s="494"/>
      <c r="J39" s="494"/>
      <c r="K39" s="378"/>
      <c r="L39" s="494"/>
      <c r="M39" s="494"/>
      <c r="N39" s="378"/>
      <c r="O39" s="495"/>
      <c r="P39" s="489"/>
      <c r="Q39" s="14"/>
    </row>
    <row r="40" spans="1:17">
      <c r="A40" s="373"/>
      <c r="B40" s="378"/>
      <c r="C40" s="378"/>
      <c r="D40" s="378"/>
      <c r="E40" s="378"/>
      <c r="F40" s="378"/>
      <c r="G40" s="378"/>
      <c r="H40" s="378"/>
      <c r="I40" s="494"/>
      <c r="J40" s="494"/>
      <c r="K40" s="378"/>
      <c r="L40" s="494"/>
      <c r="M40" s="494"/>
      <c r="N40" s="378"/>
      <c r="O40" s="495"/>
      <c r="P40" s="489"/>
      <c r="Q40" s="14"/>
    </row>
    <row r="41" spans="1:17">
      <c r="A41" s="373"/>
      <c r="B41" s="378"/>
      <c r="C41" s="378"/>
      <c r="D41" s="378"/>
      <c r="E41" s="378"/>
      <c r="F41" s="378"/>
      <c r="G41" s="378"/>
      <c r="H41" s="378"/>
      <c r="I41" s="493"/>
      <c r="J41" s="493"/>
      <c r="K41" s="378"/>
      <c r="L41" s="493"/>
      <c r="M41" s="493"/>
      <c r="N41" s="378"/>
      <c r="O41" s="495"/>
      <c r="P41" s="489"/>
      <c r="Q41" s="14"/>
    </row>
    <row r="42" spans="1:17">
      <c r="A42" s="373" t="str">
        <f>A20</f>
        <v>Only one long edge discontinuous</v>
      </c>
      <c r="B42" s="378" t="s">
        <v>5</v>
      </c>
      <c r="C42" s="378">
        <v>3.6999999999999998E-2</v>
      </c>
      <c r="D42" s="378">
        <v>4.3999999999999997E-2</v>
      </c>
      <c r="E42" s="378">
        <v>5.1999999999999998E-2</v>
      </c>
      <c r="F42" s="378">
        <v>5.7000000000000002E-2</v>
      </c>
      <c r="G42" s="378">
        <v>6.3E-2</v>
      </c>
      <c r="H42" s="378">
        <v>6.7000000000000004E-2</v>
      </c>
      <c r="I42" s="492">
        <f>(K42-H42)/2.5*1+H42</f>
        <v>7.1000000000000008E-2</v>
      </c>
      <c r="J42" s="492">
        <f>(K42-H42)/2.5*2+H42</f>
        <v>7.4999999999999997E-2</v>
      </c>
      <c r="K42" s="378">
        <v>7.6999999999999999E-2</v>
      </c>
      <c r="L42" s="492">
        <f>(N42-K42)/2.5*0.5+K42</f>
        <v>7.8600000000000003E-2</v>
      </c>
      <c r="M42" s="492">
        <f>(N42-K42)/2.5*1.5+K42</f>
        <v>8.1799999999999998E-2</v>
      </c>
      <c r="N42" s="378">
        <v>8.5000000000000006E-2</v>
      </c>
      <c r="O42" s="495">
        <v>3.6999999999999998E-2</v>
      </c>
      <c r="P42" s="489">
        <v>0.11</v>
      </c>
      <c r="Q42" s="14"/>
    </row>
    <row r="43" spans="1:17">
      <c r="A43" s="373"/>
      <c r="B43" s="378"/>
      <c r="C43" s="378"/>
      <c r="D43" s="378"/>
      <c r="E43" s="378"/>
      <c r="F43" s="378"/>
      <c r="G43" s="378"/>
      <c r="H43" s="378"/>
      <c r="I43" s="493"/>
      <c r="J43" s="493"/>
      <c r="K43" s="378"/>
      <c r="L43" s="493"/>
      <c r="M43" s="493"/>
      <c r="N43" s="378"/>
      <c r="O43" s="495"/>
      <c r="P43" s="489"/>
      <c r="Q43" s="14"/>
    </row>
    <row r="44" spans="1:17">
      <c r="A44" s="373" t="str">
        <f>A22</f>
        <v>Only one short edge discontinuous</v>
      </c>
      <c r="B44" s="378" t="s">
        <v>24</v>
      </c>
      <c r="C44" s="378">
        <v>3.6999999999999998E-2</v>
      </c>
      <c r="D44" s="378">
        <v>4.2999999999999997E-2</v>
      </c>
      <c r="E44" s="378">
        <v>4.8000000000000001E-2</v>
      </c>
      <c r="F44" s="378">
        <v>5.0999999999999997E-2</v>
      </c>
      <c r="G44" s="378">
        <v>5.5E-2</v>
      </c>
      <c r="H44" s="378">
        <v>5.7000000000000002E-2</v>
      </c>
      <c r="I44" s="492">
        <f>(K44-H44)/2.5*1+H44</f>
        <v>5.9799999999999999E-2</v>
      </c>
      <c r="J44" s="492">
        <f>(K44-H44)/2.5*2+H44</f>
        <v>6.2600000000000003E-2</v>
      </c>
      <c r="K44" s="378">
        <v>6.4000000000000001E-2</v>
      </c>
      <c r="L44" s="492">
        <f>(N44-K44)/2.5*0.5+K44</f>
        <v>6.4799999999999996E-2</v>
      </c>
      <c r="M44" s="492">
        <f>(N44-K44)/2.5*1.5+K44</f>
        <v>6.6400000000000001E-2</v>
      </c>
      <c r="N44" s="378">
        <v>6.8000000000000005E-2</v>
      </c>
      <c r="O44" s="495">
        <v>3.6999999999999998E-2</v>
      </c>
      <c r="P44" s="489">
        <v>0.11</v>
      </c>
      <c r="Q44" s="14"/>
    </row>
    <row r="45" spans="1:17">
      <c r="A45" s="373"/>
      <c r="B45" s="378"/>
      <c r="C45" s="378"/>
      <c r="D45" s="378"/>
      <c r="E45" s="378"/>
      <c r="F45" s="378"/>
      <c r="G45" s="378"/>
      <c r="H45" s="378"/>
      <c r="I45" s="493"/>
      <c r="J45" s="493"/>
      <c r="K45" s="378"/>
      <c r="L45" s="493"/>
      <c r="M45" s="493"/>
      <c r="N45" s="378"/>
      <c r="O45" s="495"/>
      <c r="P45" s="489"/>
      <c r="Q45" s="14"/>
    </row>
    <row r="46" spans="1:17">
      <c r="A46" s="373" t="str">
        <f>A24</f>
        <v>Only one short edge continuous</v>
      </c>
      <c r="B46" s="378" t="s">
        <v>31</v>
      </c>
      <c r="C46" s="378">
        <v>0</v>
      </c>
      <c r="D46" s="378">
        <v>0</v>
      </c>
      <c r="E46" s="378">
        <v>0</v>
      </c>
      <c r="F46" s="378">
        <v>0</v>
      </c>
      <c r="G46" s="378">
        <v>0</v>
      </c>
      <c r="H46" s="378">
        <v>0</v>
      </c>
      <c r="I46" s="492">
        <f>(K46-H46)/2.5*1+H46</f>
        <v>0</v>
      </c>
      <c r="J46" s="492">
        <f>(K46-H46)/2.5*2+H46</f>
        <v>0</v>
      </c>
      <c r="K46" s="378">
        <v>0</v>
      </c>
      <c r="L46" s="492">
        <f>(N46-K46)/2.5*0.5+K46</f>
        <v>0</v>
      </c>
      <c r="M46" s="492">
        <f>(N46-K46)/2.5*1.5+K46</f>
        <v>0</v>
      </c>
      <c r="N46" s="378">
        <v>0</v>
      </c>
      <c r="O46" s="495">
        <v>5.7000000000000002E-2</v>
      </c>
      <c r="P46" s="489">
        <v>0</v>
      </c>
      <c r="Q46" s="14"/>
    </row>
    <row r="47" spans="1:17">
      <c r="A47" s="373"/>
      <c r="B47" s="378"/>
      <c r="C47" s="378"/>
      <c r="D47" s="378"/>
      <c r="E47" s="378"/>
      <c r="F47" s="378"/>
      <c r="G47" s="378"/>
      <c r="H47" s="378"/>
      <c r="I47" s="493"/>
      <c r="J47" s="493"/>
      <c r="K47" s="378"/>
      <c r="L47" s="493"/>
      <c r="M47" s="493"/>
      <c r="N47" s="378"/>
      <c r="O47" s="495"/>
      <c r="P47" s="489"/>
      <c r="Q47" s="14"/>
    </row>
    <row r="48" spans="1:17">
      <c r="A48" s="373" t="str">
        <f>A26</f>
        <v>Only one long edge continuous</v>
      </c>
      <c r="B48" s="378" t="s">
        <v>34</v>
      </c>
      <c r="C48" s="378">
        <v>5.7000000000000002E-2</v>
      </c>
      <c r="D48" s="378">
        <v>6.4000000000000001E-2</v>
      </c>
      <c r="E48" s="378">
        <v>7.0999999999999994E-2</v>
      </c>
      <c r="F48" s="378">
        <v>7.5999999999999998E-2</v>
      </c>
      <c r="G48" s="378">
        <v>0.08</v>
      </c>
      <c r="H48" s="378">
        <v>8.4000000000000005E-2</v>
      </c>
      <c r="I48" s="492">
        <f>(K48-H48)/2.5*1+H48</f>
        <v>8.6800000000000002E-2</v>
      </c>
      <c r="J48" s="492">
        <f>(K48-H48)/2.5*2+H48</f>
        <v>8.9599999999999999E-2</v>
      </c>
      <c r="K48" s="378">
        <v>9.0999999999999998E-2</v>
      </c>
      <c r="L48" s="492">
        <f>(N48-K48)/2.5*0.5+K48</f>
        <v>9.2200000000000004E-2</v>
      </c>
      <c r="M48" s="492">
        <f>(N48-K48)/2.5*1.5+K48</f>
        <v>9.4600000000000004E-2</v>
      </c>
      <c r="N48" s="378">
        <v>9.7000000000000003E-2</v>
      </c>
      <c r="O48" s="495">
        <v>0</v>
      </c>
      <c r="P48" s="489">
        <v>0.11</v>
      </c>
      <c r="Q48" s="14"/>
    </row>
    <row r="49" spans="1:17" ht="13.8" thickBot="1">
      <c r="A49" s="373"/>
      <c r="B49" s="496"/>
      <c r="C49" s="496"/>
      <c r="D49" s="496"/>
      <c r="E49" s="496"/>
      <c r="F49" s="496"/>
      <c r="G49" s="496"/>
      <c r="H49" s="496"/>
      <c r="I49" s="499"/>
      <c r="J49" s="499"/>
      <c r="K49" s="496"/>
      <c r="L49" s="499"/>
      <c r="M49" s="499"/>
      <c r="N49" s="496"/>
      <c r="O49" s="500"/>
      <c r="P49" s="489"/>
      <c r="Q49" s="14"/>
    </row>
    <row r="50" spans="1:17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</sheetData>
  <sheetProtection sheet="1" objects="1" scenarios="1"/>
  <customSheetViews>
    <customSheetView guid="{3E488D02-432F-45E5-90FE-5CD6FBA7363A}" scale="154" showPageBreaks="1" view="pageBreakPreview" topLeftCell="B1">
      <selection activeCell="P13" sqref="P13"/>
      <pageMargins left="0.75" right="0.75" top="1" bottom="1" header="0.5" footer="0.5"/>
      <pageSetup orientation="portrait" horizontalDpi="4294967294" r:id="rId1"/>
      <headerFooter alignWithMargins="0"/>
    </customSheetView>
    <customSheetView guid="{4C8449F4-FC56-4876-869E-F955C2C5C3AD}" scale="154" showPageBreaks="1" view="pageBreakPreview" topLeftCell="B1">
      <selection activeCell="P13" sqref="P13"/>
      <pageMargins left="0.75" right="0.75" top="1" bottom="1" header="0.5" footer="0.5"/>
      <pageSetup orientation="portrait" horizontalDpi="4294967294" r:id="rId2"/>
      <headerFooter alignWithMargins="0"/>
    </customSheetView>
    <customSheetView guid="{473AD2C1-50BF-11D4-AB98-94419A57BB4E}" state="hidden" showRuler="0">
      <selection activeCell="D5" sqref="D5:E5"/>
      <pageMargins left="0.75" right="0.75" top="1" bottom="1" header="0.5" footer="0.5"/>
      <pageSetup orientation="portrait" horizontalDpi="4294967294" verticalDpi="0" r:id="rId3"/>
      <headerFooter alignWithMargins="0"/>
    </customSheetView>
    <customSheetView guid="{98368B2C-A6FC-4203-B15D-14B77BE18A81}">
      <selection sqref="A1:O1"/>
      <pageMargins left="0.75" right="0.75" top="1" bottom="1" header="0.5" footer="0.5"/>
      <pageSetup orientation="portrait" horizontalDpi="4294967294" r:id="rId4"/>
      <headerFooter alignWithMargins="0"/>
    </customSheetView>
    <customSheetView guid="{406DF1FF-9BFC-4168-AE00-7162E8A7C8EF}">
      <selection sqref="A1:O1"/>
      <pageMargins left="0.75" right="0.75" top="1" bottom="1" header="0.5" footer="0.5"/>
      <pageSetup orientation="portrait" horizontalDpi="4294967294" r:id="rId5"/>
      <headerFooter alignWithMargins="0"/>
    </customSheetView>
    <customSheetView guid="{8CD552DE-766B-42EA-A3A9-EF771D2E49CF}" scale="154" showPageBreaks="1" view="pageBreakPreview" topLeftCell="B1">
      <selection activeCell="P13" sqref="P13"/>
      <pageMargins left="0.75" right="0.75" top="1" bottom="1" header="0.5" footer="0.5"/>
      <pageSetup orientation="portrait" horizontalDpi="4294967294" r:id="rId6"/>
      <headerFooter alignWithMargins="0"/>
    </customSheetView>
    <customSheetView guid="{9CE232CD-A92E-403C-887B-19AF1B853CD5}" scale="154" showPageBreaks="1" view="pageBreakPreview" topLeftCell="B1">
      <selection activeCell="P13" sqref="P13"/>
      <pageMargins left="0.75" right="0.75" top="1" bottom="1" header="0.5" footer="0.5"/>
      <pageSetup orientation="portrait" horizontalDpi="4294967294" r:id="rId7"/>
      <headerFooter alignWithMargins="0"/>
    </customSheetView>
    <customSheetView guid="{6A6F7507-5F1B-4B90-A3F8-107D205DF2BA}" scale="154" showPageBreaks="1" view="pageBreakPreview" topLeftCell="B1">
      <selection activeCell="P13" sqref="P13"/>
      <pageMargins left="0.75" right="0.75" top="1" bottom="1" header="0.5" footer="0.5"/>
      <pageSetup orientation="portrait" horizontalDpi="4294967294" r:id="rId8"/>
      <headerFooter alignWithMargins="0"/>
    </customSheetView>
  </customSheetViews>
  <mergeCells count="172">
    <mergeCell ref="O48:O49"/>
    <mergeCell ref="I42:I43"/>
    <mergeCell ref="J42:J43"/>
    <mergeCell ref="A1:O1"/>
    <mergeCell ref="F3:G3"/>
    <mergeCell ref="D5:E5"/>
    <mergeCell ref="D3:E4"/>
    <mergeCell ref="A4:B4"/>
    <mergeCell ref="I16:I19"/>
    <mergeCell ref="J16:J19"/>
    <mergeCell ref="H3:I3"/>
    <mergeCell ref="A9:O9"/>
    <mergeCell ref="C10:O10"/>
    <mergeCell ref="K48:K49"/>
    <mergeCell ref="K46:K47"/>
    <mergeCell ref="I46:I47"/>
    <mergeCell ref="J46:J47"/>
    <mergeCell ref="I48:I49"/>
    <mergeCell ref="J48:J49"/>
    <mergeCell ref="O46:O47"/>
    <mergeCell ref="A46:A47"/>
    <mergeCell ref="B46:B47"/>
    <mergeCell ref="C46:C47"/>
    <mergeCell ref="D46:D47"/>
    <mergeCell ref="M46:M47"/>
    <mergeCell ref="N46:N47"/>
    <mergeCell ref="E46:E47"/>
    <mergeCell ref="F46:F47"/>
    <mergeCell ref="G46:G47"/>
    <mergeCell ref="H46:H47"/>
    <mergeCell ref="A48:A49"/>
    <mergeCell ref="B48:B49"/>
    <mergeCell ref="C48:C49"/>
    <mergeCell ref="D48:D49"/>
    <mergeCell ref="L48:L49"/>
    <mergeCell ref="M48:M49"/>
    <mergeCell ref="D38:D41"/>
    <mergeCell ref="E38:E41"/>
    <mergeCell ref="F38:F41"/>
    <mergeCell ref="G38:G41"/>
    <mergeCell ref="N48:N49"/>
    <mergeCell ref="E48:E49"/>
    <mergeCell ref="F48:F49"/>
    <mergeCell ref="G48:G49"/>
    <mergeCell ref="H48:H49"/>
    <mergeCell ref="L44:L45"/>
    <mergeCell ref="M44:M45"/>
    <mergeCell ref="I44:I45"/>
    <mergeCell ref="J44:J45"/>
    <mergeCell ref="N44:N45"/>
    <mergeCell ref="I38:I41"/>
    <mergeCell ref="N42:N43"/>
    <mergeCell ref="N38:N41"/>
    <mergeCell ref="L38:L41"/>
    <mergeCell ref="M38:M41"/>
    <mergeCell ref="K38:K41"/>
    <mergeCell ref="J38:J41"/>
    <mergeCell ref="H42:H43"/>
    <mergeCell ref="H38:H41"/>
    <mergeCell ref="L46:L47"/>
    <mergeCell ref="O44:O45"/>
    <mergeCell ref="K42:K43"/>
    <mergeCell ref="A42:A43"/>
    <mergeCell ref="B42:B43"/>
    <mergeCell ref="C42:C43"/>
    <mergeCell ref="D42:D43"/>
    <mergeCell ref="E42:E43"/>
    <mergeCell ref="F42:F43"/>
    <mergeCell ref="G42:G43"/>
    <mergeCell ref="A44:A45"/>
    <mergeCell ref="B44:B45"/>
    <mergeCell ref="C44:C45"/>
    <mergeCell ref="D44:D45"/>
    <mergeCell ref="E44:E45"/>
    <mergeCell ref="F44:F45"/>
    <mergeCell ref="G44:G45"/>
    <mergeCell ref="H44:H45"/>
    <mergeCell ref="K44:K45"/>
    <mergeCell ref="A26:A27"/>
    <mergeCell ref="B26:B27"/>
    <mergeCell ref="C26:C27"/>
    <mergeCell ref="D26:D27"/>
    <mergeCell ref="E26:E27"/>
    <mergeCell ref="K24:K25"/>
    <mergeCell ref="M26:M27"/>
    <mergeCell ref="J26:J27"/>
    <mergeCell ref="N24:N25"/>
    <mergeCell ref="L24:L25"/>
    <mergeCell ref="M24:M25"/>
    <mergeCell ref="N26:N27"/>
    <mergeCell ref="K26:K27"/>
    <mergeCell ref="I24:I25"/>
    <mergeCell ref="J24:J25"/>
    <mergeCell ref="H24:H25"/>
    <mergeCell ref="I26:I27"/>
    <mergeCell ref="L26:L27"/>
    <mergeCell ref="H26:H27"/>
    <mergeCell ref="E24:E25"/>
    <mergeCell ref="F24:F25"/>
    <mergeCell ref="G24:G25"/>
    <mergeCell ref="A22:A23"/>
    <mergeCell ref="C16:C19"/>
    <mergeCell ref="D16:D19"/>
    <mergeCell ref="A16:A19"/>
    <mergeCell ref="A20:A21"/>
    <mergeCell ref="A24:A25"/>
    <mergeCell ref="B24:B25"/>
    <mergeCell ref="C24:C25"/>
    <mergeCell ref="D24:D25"/>
    <mergeCell ref="B16:B19"/>
    <mergeCell ref="B20:B21"/>
    <mergeCell ref="B22:B23"/>
    <mergeCell ref="D20:D21"/>
    <mergeCell ref="C22:C23"/>
    <mergeCell ref="D22:D23"/>
    <mergeCell ref="E22:E23"/>
    <mergeCell ref="F22:F23"/>
    <mergeCell ref="G22:G23"/>
    <mergeCell ref="H22:H23"/>
    <mergeCell ref="I22:I23"/>
    <mergeCell ref="J22:J23"/>
    <mergeCell ref="I20:I21"/>
    <mergeCell ref="C20:C21"/>
    <mergeCell ref="E20:E21"/>
    <mergeCell ref="F20:F21"/>
    <mergeCell ref="G20:G21"/>
    <mergeCell ref="H20:H21"/>
    <mergeCell ref="P44:P45"/>
    <mergeCell ref="P46:P47"/>
    <mergeCell ref="P48:P49"/>
    <mergeCell ref="P31:P32"/>
    <mergeCell ref="P26:P27"/>
    <mergeCell ref="K20:K21"/>
    <mergeCell ref="E16:E19"/>
    <mergeCell ref="F16:F19"/>
    <mergeCell ref="G16:G19"/>
    <mergeCell ref="H16:H19"/>
    <mergeCell ref="J20:J21"/>
    <mergeCell ref="O22:O23"/>
    <mergeCell ref="N20:N21"/>
    <mergeCell ref="O20:O21"/>
    <mergeCell ref="O38:O41"/>
    <mergeCell ref="F26:F27"/>
    <mergeCell ref="A31:O31"/>
    <mergeCell ref="C32:O32"/>
    <mergeCell ref="A38:A41"/>
    <mergeCell ref="B38:B41"/>
    <mergeCell ref="C38:C41"/>
    <mergeCell ref="G26:G27"/>
    <mergeCell ref="O26:O27"/>
    <mergeCell ref="L16:L19"/>
    <mergeCell ref="P9:P10"/>
    <mergeCell ref="P38:P41"/>
    <mergeCell ref="P42:P43"/>
    <mergeCell ref="P16:P19"/>
    <mergeCell ref="P20:P21"/>
    <mergeCell ref="P22:P23"/>
    <mergeCell ref="P24:P25"/>
    <mergeCell ref="K22:K23"/>
    <mergeCell ref="N22:N23"/>
    <mergeCell ref="K16:K19"/>
    <mergeCell ref="N16:N19"/>
    <mergeCell ref="O16:O19"/>
    <mergeCell ref="L42:L43"/>
    <mergeCell ref="M42:M43"/>
    <mergeCell ref="M16:M19"/>
    <mergeCell ref="L20:L21"/>
    <mergeCell ref="M20:M21"/>
    <mergeCell ref="L22:L23"/>
    <mergeCell ref="M22:M23"/>
    <mergeCell ref="O24:O25"/>
    <mergeCell ref="O42:O43"/>
  </mergeCells>
  <phoneticPr fontId="0" type="noConversion"/>
  <pageMargins left="0.75" right="0.75" top="1" bottom="1" header="0.5" footer="0.5"/>
  <pageSetup orientation="portrait" horizontalDpi="4294967294" r:id="rId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L291"/>
  <sheetViews>
    <sheetView view="pageBreakPreview" zoomScale="124" zoomScaleNormal="100" zoomScaleSheetLayoutView="124" workbookViewId="0">
      <selection activeCell="K8" sqref="K8"/>
    </sheetView>
  </sheetViews>
  <sheetFormatPr defaultRowHeight="13.2"/>
  <cols>
    <col min="2" max="11" width="9.109375" style="14"/>
  </cols>
  <sheetData>
    <row r="1" spans="1:11" ht="13.8" thickBot="1">
      <c r="A1" s="59"/>
      <c r="B1" s="516" t="s">
        <v>248</v>
      </c>
      <c r="C1" s="517"/>
      <c r="D1" s="517"/>
      <c r="E1" s="517"/>
      <c r="F1" s="517"/>
      <c r="G1" s="517"/>
      <c r="H1" s="518"/>
    </row>
    <row r="2" spans="1:11">
      <c r="C2" s="497" t="s">
        <v>249</v>
      </c>
      <c r="D2" s="362"/>
      <c r="E2" s="362"/>
      <c r="F2" s="362"/>
      <c r="G2" s="362"/>
      <c r="H2" s="519"/>
    </row>
    <row r="3" spans="1:11" ht="13.8" thickBot="1">
      <c r="B3" s="515" t="s">
        <v>246</v>
      </c>
      <c r="C3" s="102">
        <v>15</v>
      </c>
      <c r="D3" s="19">
        <v>20</v>
      </c>
      <c r="E3" s="19">
        <v>25</v>
      </c>
      <c r="F3" s="19">
        <v>30</v>
      </c>
      <c r="G3" s="19">
        <v>35</v>
      </c>
      <c r="H3" s="19">
        <v>40</v>
      </c>
    </row>
    <row r="4" spans="1:11" ht="22.5" customHeight="1" thickBot="1">
      <c r="B4" s="515"/>
      <c r="C4" s="513" t="s">
        <v>247</v>
      </c>
      <c r="D4" s="513"/>
      <c r="E4" s="513"/>
      <c r="F4" s="513"/>
      <c r="G4" s="513"/>
      <c r="H4" s="514"/>
    </row>
    <row r="5" spans="1:11">
      <c r="B5" s="515"/>
      <c r="C5" s="132">
        <v>1</v>
      </c>
      <c r="D5" s="133">
        <v>2</v>
      </c>
      <c r="E5" s="133">
        <v>3</v>
      </c>
      <c r="F5" s="133">
        <v>4</v>
      </c>
      <c r="G5" s="133">
        <v>5</v>
      </c>
      <c r="H5" s="133">
        <v>6</v>
      </c>
    </row>
    <row r="6" spans="1:11">
      <c r="B6" s="134">
        <v>0.15</v>
      </c>
      <c r="C6" s="135">
        <v>0.28000000000000003</v>
      </c>
      <c r="D6" s="136">
        <v>0.28000000000000003</v>
      </c>
      <c r="E6" s="136">
        <v>0.28999999999999998</v>
      </c>
      <c r="F6" s="136">
        <v>0.28999999999999998</v>
      </c>
      <c r="G6" s="136">
        <v>0.28999999999999998</v>
      </c>
      <c r="H6" s="136">
        <v>0.3</v>
      </c>
      <c r="I6" s="137" t="s">
        <v>249</v>
      </c>
      <c r="J6" s="37"/>
      <c r="K6" s="16">
        <f>fck</f>
        <v>25</v>
      </c>
    </row>
    <row r="7" spans="1:11">
      <c r="B7" s="138">
        <f t="shared" ref="B7:B70" si="0">B6+0.01</f>
        <v>0.16</v>
      </c>
      <c r="C7" s="139">
        <f t="shared" ref="C7:H7" si="1">C$6+(C$16-C$6)*($B7-$B$6)/($B$16-$B$6)</f>
        <v>0.28700000000000003</v>
      </c>
      <c r="D7" s="139">
        <f t="shared" si="1"/>
        <v>0.28800000000000003</v>
      </c>
      <c r="E7" s="139">
        <f t="shared" si="1"/>
        <v>0.29699999999999999</v>
      </c>
      <c r="F7" s="139">
        <f t="shared" si="1"/>
        <v>0.29799999999999999</v>
      </c>
      <c r="G7" s="139">
        <f t="shared" si="1"/>
        <v>0.29799999999999999</v>
      </c>
      <c r="H7" s="139">
        <f t="shared" si="1"/>
        <v>0.308</v>
      </c>
      <c r="I7" s="14" t="s">
        <v>251</v>
      </c>
      <c r="K7" s="16">
        <f>IF(fck=15,1,IF(fck=20,2,IF(fck=25,3,IF(fck=30,4,IF(fck=35,5,IF(fck=40,6,6))))))</f>
        <v>3</v>
      </c>
    </row>
    <row r="8" spans="1:11">
      <c r="B8" s="138">
        <f t="shared" si="0"/>
        <v>0.17</v>
      </c>
      <c r="C8" s="139">
        <f t="shared" ref="C8:H15" si="2">C$6+(C$16-C$6)*($B8-$B$6)/($B$16-$B$6)</f>
        <v>0.29400000000000004</v>
      </c>
      <c r="D8" s="139">
        <f t="shared" si="2"/>
        <v>0.29600000000000004</v>
      </c>
      <c r="E8" s="139">
        <f t="shared" si="2"/>
        <v>0.30399999999999999</v>
      </c>
      <c r="F8" s="139">
        <f t="shared" si="2"/>
        <v>0.30599999999999999</v>
      </c>
      <c r="G8" s="139">
        <f t="shared" si="2"/>
        <v>0.30599999999999999</v>
      </c>
      <c r="H8" s="139">
        <f t="shared" si="2"/>
        <v>0.316</v>
      </c>
      <c r="I8" s="14" t="s">
        <v>250</v>
      </c>
      <c r="K8" s="41">
        <f>IF(shearpt&lt;0.15,0.15,shearpt)</f>
        <v>0.40799904592075237</v>
      </c>
    </row>
    <row r="9" spans="1:11">
      <c r="B9" s="138">
        <f t="shared" si="0"/>
        <v>0.18000000000000002</v>
      </c>
      <c r="C9" s="139">
        <f t="shared" si="2"/>
        <v>0.30100000000000005</v>
      </c>
      <c r="D9" s="139">
        <f t="shared" si="2"/>
        <v>0.30400000000000005</v>
      </c>
      <c r="E9" s="139">
        <f t="shared" si="2"/>
        <v>0.311</v>
      </c>
      <c r="F9" s="139">
        <f t="shared" si="2"/>
        <v>0.314</v>
      </c>
      <c r="G9" s="139">
        <f t="shared" si="2"/>
        <v>0.314</v>
      </c>
      <c r="H9" s="139">
        <f t="shared" si="2"/>
        <v>0.32400000000000001</v>
      </c>
      <c r="I9" s="511" t="s">
        <v>252</v>
      </c>
      <c r="J9" s="512"/>
      <c r="K9" s="140">
        <f>VLOOKUP(K8,B6:H291,K7+1)</f>
        <v>0.438</v>
      </c>
    </row>
    <row r="10" spans="1:11">
      <c r="B10" s="138">
        <f t="shared" si="0"/>
        <v>0.19000000000000003</v>
      </c>
      <c r="C10" s="139">
        <f t="shared" si="2"/>
        <v>0.308</v>
      </c>
      <c r="D10" s="139">
        <f t="shared" si="2"/>
        <v>0.312</v>
      </c>
      <c r="E10" s="139">
        <f t="shared" si="2"/>
        <v>0.318</v>
      </c>
      <c r="F10" s="139">
        <f t="shared" si="2"/>
        <v>0.32200000000000001</v>
      </c>
      <c r="G10" s="139">
        <f t="shared" si="2"/>
        <v>0.32200000000000001</v>
      </c>
      <c r="H10" s="139">
        <f t="shared" si="2"/>
        <v>0.33200000000000002</v>
      </c>
    </row>
    <row r="11" spans="1:11">
      <c r="B11" s="138">
        <f t="shared" si="0"/>
        <v>0.20000000000000004</v>
      </c>
      <c r="C11" s="139">
        <f t="shared" si="2"/>
        <v>0.315</v>
      </c>
      <c r="D11" s="139">
        <f t="shared" si="2"/>
        <v>0.32</v>
      </c>
      <c r="E11" s="139">
        <f t="shared" si="2"/>
        <v>0.32500000000000001</v>
      </c>
      <c r="F11" s="139">
        <f t="shared" si="2"/>
        <v>0.33</v>
      </c>
      <c r="G11" s="139">
        <f t="shared" si="2"/>
        <v>0.33</v>
      </c>
      <c r="H11" s="139">
        <f t="shared" si="2"/>
        <v>0.34</v>
      </c>
    </row>
    <row r="12" spans="1:11">
      <c r="B12" s="138">
        <f t="shared" si="0"/>
        <v>0.21000000000000005</v>
      </c>
      <c r="C12" s="139">
        <f t="shared" si="2"/>
        <v>0.32200000000000001</v>
      </c>
      <c r="D12" s="139">
        <f t="shared" si="2"/>
        <v>0.32800000000000001</v>
      </c>
      <c r="E12" s="139">
        <f t="shared" si="2"/>
        <v>0.33200000000000002</v>
      </c>
      <c r="F12" s="139">
        <f t="shared" si="2"/>
        <v>0.33800000000000002</v>
      </c>
      <c r="G12" s="139">
        <f t="shared" si="2"/>
        <v>0.33800000000000002</v>
      </c>
      <c r="H12" s="139">
        <f t="shared" si="2"/>
        <v>0.34800000000000003</v>
      </c>
    </row>
    <row r="13" spans="1:11">
      <c r="B13" s="138">
        <f t="shared" si="0"/>
        <v>0.22000000000000006</v>
      </c>
      <c r="C13" s="139">
        <f t="shared" si="2"/>
        <v>0.32900000000000001</v>
      </c>
      <c r="D13" s="139">
        <f t="shared" si="2"/>
        <v>0.33600000000000002</v>
      </c>
      <c r="E13" s="139">
        <f t="shared" si="2"/>
        <v>0.33900000000000002</v>
      </c>
      <c r="F13" s="139">
        <f t="shared" si="2"/>
        <v>0.34600000000000003</v>
      </c>
      <c r="G13" s="139">
        <f t="shared" si="2"/>
        <v>0.34600000000000003</v>
      </c>
      <c r="H13" s="139">
        <f t="shared" si="2"/>
        <v>0.35600000000000004</v>
      </c>
    </row>
    <row r="14" spans="1:11">
      <c r="B14" s="138">
        <f t="shared" si="0"/>
        <v>0.23000000000000007</v>
      </c>
      <c r="C14" s="139">
        <f t="shared" si="2"/>
        <v>0.33600000000000002</v>
      </c>
      <c r="D14" s="139">
        <f t="shared" si="2"/>
        <v>0.34400000000000003</v>
      </c>
      <c r="E14" s="139">
        <f t="shared" si="2"/>
        <v>0.34599999999999997</v>
      </c>
      <c r="F14" s="139">
        <f t="shared" si="2"/>
        <v>0.35399999999999998</v>
      </c>
      <c r="G14" s="139">
        <f t="shared" si="2"/>
        <v>0.35399999999999998</v>
      </c>
      <c r="H14" s="139">
        <f t="shared" si="2"/>
        <v>0.36399999999999999</v>
      </c>
    </row>
    <row r="15" spans="1:11">
      <c r="B15" s="138">
        <f t="shared" si="0"/>
        <v>0.24000000000000007</v>
      </c>
      <c r="C15" s="139">
        <f t="shared" si="2"/>
        <v>0.34299999999999997</v>
      </c>
      <c r="D15" s="139">
        <f t="shared" si="2"/>
        <v>0.35199999999999998</v>
      </c>
      <c r="E15" s="139">
        <f t="shared" si="2"/>
        <v>0.35299999999999998</v>
      </c>
      <c r="F15" s="139">
        <f t="shared" si="2"/>
        <v>0.36199999999999999</v>
      </c>
      <c r="G15" s="139">
        <f t="shared" si="2"/>
        <v>0.36199999999999999</v>
      </c>
      <c r="H15" s="139">
        <f t="shared" si="2"/>
        <v>0.372</v>
      </c>
    </row>
    <row r="16" spans="1:11">
      <c r="B16" s="134">
        <f t="shared" si="0"/>
        <v>0.25000000000000006</v>
      </c>
      <c r="C16" s="135">
        <v>0.35</v>
      </c>
      <c r="D16" s="141">
        <v>0.36</v>
      </c>
      <c r="E16" s="141">
        <v>0.36</v>
      </c>
      <c r="F16" s="141">
        <v>0.37</v>
      </c>
      <c r="G16" s="141">
        <v>0.37</v>
      </c>
      <c r="H16" s="141">
        <v>0.38</v>
      </c>
      <c r="I16" s="137"/>
    </row>
    <row r="17" spans="2:8">
      <c r="B17" s="138">
        <f t="shared" si="0"/>
        <v>0.26000000000000006</v>
      </c>
      <c r="C17" s="139">
        <f t="shared" ref="C17:H17" si="3">C$16+(C$41-C$16)*($B17-$B$16)/($B$41-$B$16)</f>
        <v>0.35439999999999999</v>
      </c>
      <c r="D17" s="139">
        <f t="shared" si="3"/>
        <v>0.36480000000000001</v>
      </c>
      <c r="E17" s="139">
        <f t="shared" si="3"/>
        <v>0.36519999999999997</v>
      </c>
      <c r="F17" s="139">
        <f t="shared" si="3"/>
        <v>0.37519999999999998</v>
      </c>
      <c r="G17" s="139">
        <f t="shared" si="3"/>
        <v>0.37519999999999998</v>
      </c>
      <c r="H17" s="139">
        <f t="shared" si="3"/>
        <v>0.38519999999999999</v>
      </c>
    </row>
    <row r="18" spans="2:8">
      <c r="B18" s="138">
        <f t="shared" si="0"/>
        <v>0.27000000000000007</v>
      </c>
      <c r="C18" s="139">
        <f t="shared" ref="C18:H40" si="4">C$16+(C$41-C$16)*($B18-$B$16)/($B$41-$B$16)</f>
        <v>0.35880000000000001</v>
      </c>
      <c r="D18" s="139">
        <f t="shared" si="4"/>
        <v>0.36959999999999998</v>
      </c>
      <c r="E18" s="139">
        <f t="shared" si="4"/>
        <v>0.37040000000000001</v>
      </c>
      <c r="F18" s="139">
        <f t="shared" si="4"/>
        <v>0.38040000000000002</v>
      </c>
      <c r="G18" s="139">
        <f t="shared" si="4"/>
        <v>0.38040000000000002</v>
      </c>
      <c r="H18" s="139">
        <f t="shared" si="4"/>
        <v>0.39040000000000002</v>
      </c>
    </row>
    <row r="19" spans="2:8">
      <c r="B19" s="138">
        <f t="shared" si="0"/>
        <v>0.28000000000000008</v>
      </c>
      <c r="C19" s="139">
        <f t="shared" si="4"/>
        <v>0.36319999999999997</v>
      </c>
      <c r="D19" s="139">
        <f t="shared" si="4"/>
        <v>0.37440000000000001</v>
      </c>
      <c r="E19" s="139">
        <f t="shared" si="4"/>
        <v>0.37559999999999999</v>
      </c>
      <c r="F19" s="139">
        <f t="shared" si="4"/>
        <v>0.3856</v>
      </c>
      <c r="G19" s="139">
        <f t="shared" si="4"/>
        <v>0.3856</v>
      </c>
      <c r="H19" s="139">
        <f t="shared" si="4"/>
        <v>0.39560000000000001</v>
      </c>
    </row>
    <row r="20" spans="2:8">
      <c r="B20" s="138">
        <f t="shared" si="0"/>
        <v>0.29000000000000009</v>
      </c>
      <c r="C20" s="139">
        <f t="shared" si="4"/>
        <v>0.36759999999999998</v>
      </c>
      <c r="D20" s="139">
        <f t="shared" si="4"/>
        <v>0.37919999999999998</v>
      </c>
      <c r="E20" s="139">
        <f t="shared" si="4"/>
        <v>0.38079999999999997</v>
      </c>
      <c r="F20" s="139">
        <f t="shared" si="4"/>
        <v>0.39079999999999998</v>
      </c>
      <c r="G20" s="139">
        <f t="shared" si="4"/>
        <v>0.39079999999999998</v>
      </c>
      <c r="H20" s="139">
        <f t="shared" si="4"/>
        <v>0.40079999999999999</v>
      </c>
    </row>
    <row r="21" spans="2:8">
      <c r="B21" s="138">
        <f t="shared" si="0"/>
        <v>0.3000000000000001</v>
      </c>
      <c r="C21" s="139">
        <f t="shared" si="4"/>
        <v>0.372</v>
      </c>
      <c r="D21" s="139">
        <f t="shared" si="4"/>
        <v>0.38400000000000001</v>
      </c>
      <c r="E21" s="139">
        <f t="shared" si="4"/>
        <v>0.38600000000000001</v>
      </c>
      <c r="F21" s="139">
        <f t="shared" si="4"/>
        <v>0.39600000000000002</v>
      </c>
      <c r="G21" s="139">
        <f t="shared" si="4"/>
        <v>0.39600000000000002</v>
      </c>
      <c r="H21" s="139">
        <f t="shared" si="4"/>
        <v>0.40600000000000003</v>
      </c>
    </row>
    <row r="22" spans="2:8">
      <c r="B22" s="138">
        <f t="shared" si="0"/>
        <v>0.31000000000000011</v>
      </c>
      <c r="C22" s="139">
        <f t="shared" si="4"/>
        <v>0.37640000000000001</v>
      </c>
      <c r="D22" s="139">
        <f t="shared" si="4"/>
        <v>0.38879999999999998</v>
      </c>
      <c r="E22" s="139">
        <f t="shared" si="4"/>
        <v>0.39119999999999999</v>
      </c>
      <c r="F22" s="139">
        <f t="shared" si="4"/>
        <v>0.4012</v>
      </c>
      <c r="G22" s="139">
        <f t="shared" si="4"/>
        <v>0.4012</v>
      </c>
      <c r="H22" s="139">
        <f t="shared" si="4"/>
        <v>0.41120000000000001</v>
      </c>
    </row>
    <row r="23" spans="2:8">
      <c r="B23" s="138">
        <f t="shared" si="0"/>
        <v>0.32000000000000012</v>
      </c>
      <c r="C23" s="139">
        <f t="shared" si="4"/>
        <v>0.38079999999999997</v>
      </c>
      <c r="D23" s="139">
        <f t="shared" si="4"/>
        <v>0.39360000000000001</v>
      </c>
      <c r="E23" s="139">
        <f t="shared" si="4"/>
        <v>0.39639999999999997</v>
      </c>
      <c r="F23" s="139">
        <f t="shared" si="4"/>
        <v>0.40639999999999998</v>
      </c>
      <c r="G23" s="139">
        <f t="shared" si="4"/>
        <v>0.40639999999999998</v>
      </c>
      <c r="H23" s="139">
        <f t="shared" si="4"/>
        <v>0.41639999999999999</v>
      </c>
    </row>
    <row r="24" spans="2:8">
      <c r="B24" s="138">
        <f t="shared" si="0"/>
        <v>0.33000000000000013</v>
      </c>
      <c r="C24" s="139">
        <f t="shared" si="4"/>
        <v>0.38519999999999999</v>
      </c>
      <c r="D24" s="139">
        <f t="shared" si="4"/>
        <v>0.39839999999999998</v>
      </c>
      <c r="E24" s="139">
        <f t="shared" si="4"/>
        <v>0.40160000000000001</v>
      </c>
      <c r="F24" s="139">
        <f t="shared" si="4"/>
        <v>0.41160000000000002</v>
      </c>
      <c r="G24" s="139">
        <f t="shared" si="4"/>
        <v>0.41160000000000002</v>
      </c>
      <c r="H24" s="139">
        <f t="shared" si="4"/>
        <v>0.42160000000000003</v>
      </c>
    </row>
    <row r="25" spans="2:8">
      <c r="B25" s="138">
        <f t="shared" si="0"/>
        <v>0.34000000000000014</v>
      </c>
      <c r="C25" s="139">
        <f t="shared" si="4"/>
        <v>0.3896</v>
      </c>
      <c r="D25" s="139">
        <f t="shared" si="4"/>
        <v>0.4032</v>
      </c>
      <c r="E25" s="139">
        <f t="shared" si="4"/>
        <v>0.40679999999999999</v>
      </c>
      <c r="F25" s="139">
        <f t="shared" si="4"/>
        <v>0.4168</v>
      </c>
      <c r="G25" s="139">
        <f t="shared" si="4"/>
        <v>0.4168</v>
      </c>
      <c r="H25" s="139">
        <f t="shared" si="4"/>
        <v>0.42680000000000001</v>
      </c>
    </row>
    <row r="26" spans="2:8">
      <c r="B26" s="138">
        <f t="shared" si="0"/>
        <v>0.35000000000000014</v>
      </c>
      <c r="C26" s="139">
        <f t="shared" si="4"/>
        <v>0.39400000000000002</v>
      </c>
      <c r="D26" s="139">
        <f t="shared" si="4"/>
        <v>0.40799999999999997</v>
      </c>
      <c r="E26" s="139">
        <f t="shared" si="4"/>
        <v>0.41199999999999998</v>
      </c>
      <c r="F26" s="139">
        <f t="shared" si="4"/>
        <v>0.42199999999999999</v>
      </c>
      <c r="G26" s="139">
        <f t="shared" si="4"/>
        <v>0.42199999999999999</v>
      </c>
      <c r="H26" s="139">
        <f t="shared" si="4"/>
        <v>0.432</v>
      </c>
    </row>
    <row r="27" spans="2:8">
      <c r="B27" s="138">
        <f t="shared" si="0"/>
        <v>0.36000000000000015</v>
      </c>
      <c r="C27" s="139">
        <f t="shared" si="4"/>
        <v>0.39839999999999998</v>
      </c>
      <c r="D27" s="139">
        <f t="shared" si="4"/>
        <v>0.4128</v>
      </c>
      <c r="E27" s="139">
        <f t="shared" si="4"/>
        <v>0.41720000000000002</v>
      </c>
      <c r="F27" s="139">
        <f t="shared" si="4"/>
        <v>0.42720000000000002</v>
      </c>
      <c r="G27" s="139">
        <f t="shared" si="4"/>
        <v>0.42720000000000002</v>
      </c>
      <c r="H27" s="139">
        <f t="shared" si="4"/>
        <v>0.43720000000000003</v>
      </c>
    </row>
    <row r="28" spans="2:8">
      <c r="B28" s="138">
        <f t="shared" si="0"/>
        <v>0.37000000000000016</v>
      </c>
      <c r="C28" s="139">
        <f t="shared" si="4"/>
        <v>0.40279999999999999</v>
      </c>
      <c r="D28" s="139">
        <f t="shared" si="4"/>
        <v>0.41759999999999997</v>
      </c>
      <c r="E28" s="139">
        <f t="shared" si="4"/>
        <v>0.4224</v>
      </c>
      <c r="F28" s="139">
        <f t="shared" si="4"/>
        <v>0.43240000000000001</v>
      </c>
      <c r="G28" s="139">
        <f t="shared" si="4"/>
        <v>0.43240000000000001</v>
      </c>
      <c r="H28" s="139">
        <f t="shared" si="4"/>
        <v>0.44240000000000002</v>
      </c>
    </row>
    <row r="29" spans="2:8">
      <c r="B29" s="138">
        <f t="shared" si="0"/>
        <v>0.38000000000000017</v>
      </c>
      <c r="C29" s="139">
        <f t="shared" si="4"/>
        <v>0.40720000000000001</v>
      </c>
      <c r="D29" s="139">
        <f t="shared" si="4"/>
        <v>0.4224</v>
      </c>
      <c r="E29" s="139">
        <f t="shared" si="4"/>
        <v>0.42759999999999998</v>
      </c>
      <c r="F29" s="139">
        <f t="shared" si="4"/>
        <v>0.43759999999999999</v>
      </c>
      <c r="G29" s="139">
        <f t="shared" si="4"/>
        <v>0.43759999999999999</v>
      </c>
      <c r="H29" s="139">
        <f t="shared" si="4"/>
        <v>0.4476</v>
      </c>
    </row>
    <row r="30" spans="2:8">
      <c r="B30" s="138">
        <f t="shared" si="0"/>
        <v>0.39000000000000018</v>
      </c>
      <c r="C30" s="139">
        <f t="shared" si="4"/>
        <v>0.41160000000000002</v>
      </c>
      <c r="D30" s="139">
        <f t="shared" si="4"/>
        <v>0.42720000000000002</v>
      </c>
      <c r="E30" s="139">
        <f t="shared" si="4"/>
        <v>0.43280000000000002</v>
      </c>
      <c r="F30" s="139">
        <f t="shared" si="4"/>
        <v>0.44280000000000003</v>
      </c>
      <c r="G30" s="139">
        <f t="shared" si="4"/>
        <v>0.44280000000000003</v>
      </c>
      <c r="H30" s="139">
        <f t="shared" si="4"/>
        <v>0.45280000000000004</v>
      </c>
    </row>
    <row r="31" spans="2:8">
      <c r="B31" s="138">
        <f t="shared" si="0"/>
        <v>0.40000000000000019</v>
      </c>
      <c r="C31" s="139">
        <f t="shared" si="4"/>
        <v>0.41600000000000004</v>
      </c>
      <c r="D31" s="139">
        <f t="shared" si="4"/>
        <v>0.432</v>
      </c>
      <c r="E31" s="139">
        <f t="shared" si="4"/>
        <v>0.438</v>
      </c>
      <c r="F31" s="139">
        <f t="shared" si="4"/>
        <v>0.44800000000000001</v>
      </c>
      <c r="G31" s="139">
        <f t="shared" si="4"/>
        <v>0.44800000000000001</v>
      </c>
      <c r="H31" s="139">
        <f t="shared" si="4"/>
        <v>0.45800000000000002</v>
      </c>
    </row>
    <row r="32" spans="2:8">
      <c r="B32" s="138">
        <f t="shared" si="0"/>
        <v>0.4100000000000002</v>
      </c>
      <c r="C32" s="139">
        <f t="shared" si="4"/>
        <v>0.4204</v>
      </c>
      <c r="D32" s="139">
        <f t="shared" si="4"/>
        <v>0.43679999999999997</v>
      </c>
      <c r="E32" s="139">
        <f t="shared" si="4"/>
        <v>0.44320000000000004</v>
      </c>
      <c r="F32" s="139">
        <f t="shared" si="4"/>
        <v>0.45320000000000005</v>
      </c>
      <c r="G32" s="139">
        <f t="shared" si="4"/>
        <v>0.45320000000000005</v>
      </c>
      <c r="H32" s="139">
        <f t="shared" si="4"/>
        <v>0.46320000000000006</v>
      </c>
    </row>
    <row r="33" spans="2:12">
      <c r="B33" s="138">
        <f t="shared" si="0"/>
        <v>0.42000000000000021</v>
      </c>
      <c r="C33" s="139">
        <f t="shared" si="4"/>
        <v>0.42480000000000001</v>
      </c>
      <c r="D33" s="139">
        <f t="shared" si="4"/>
        <v>0.44159999999999999</v>
      </c>
      <c r="E33" s="139">
        <f t="shared" si="4"/>
        <v>0.44840000000000002</v>
      </c>
      <c r="F33" s="139">
        <f t="shared" si="4"/>
        <v>0.45840000000000003</v>
      </c>
      <c r="G33" s="139">
        <f t="shared" si="4"/>
        <v>0.45840000000000003</v>
      </c>
      <c r="H33" s="139">
        <f t="shared" si="4"/>
        <v>0.46840000000000004</v>
      </c>
    </row>
    <row r="34" spans="2:12">
      <c r="B34" s="138">
        <f t="shared" si="0"/>
        <v>0.43000000000000022</v>
      </c>
      <c r="C34" s="139">
        <f t="shared" si="4"/>
        <v>0.42920000000000003</v>
      </c>
      <c r="D34" s="139">
        <f t="shared" si="4"/>
        <v>0.44640000000000002</v>
      </c>
      <c r="E34" s="139">
        <f t="shared" si="4"/>
        <v>0.4536</v>
      </c>
      <c r="F34" s="139">
        <f t="shared" si="4"/>
        <v>0.46360000000000001</v>
      </c>
      <c r="G34" s="139">
        <f t="shared" si="4"/>
        <v>0.46360000000000001</v>
      </c>
      <c r="H34" s="139">
        <f t="shared" si="4"/>
        <v>0.47360000000000002</v>
      </c>
    </row>
    <row r="35" spans="2:12">
      <c r="B35" s="138">
        <f t="shared" si="0"/>
        <v>0.44000000000000022</v>
      </c>
      <c r="C35" s="139">
        <f t="shared" si="4"/>
        <v>0.43360000000000004</v>
      </c>
      <c r="D35" s="139">
        <f t="shared" si="4"/>
        <v>0.45119999999999999</v>
      </c>
      <c r="E35" s="139">
        <f t="shared" si="4"/>
        <v>0.45879999999999999</v>
      </c>
      <c r="F35" s="139">
        <f t="shared" si="4"/>
        <v>0.46879999999999999</v>
      </c>
      <c r="G35" s="139">
        <f t="shared" si="4"/>
        <v>0.46879999999999999</v>
      </c>
      <c r="H35" s="139">
        <f t="shared" si="4"/>
        <v>0.4788</v>
      </c>
    </row>
    <row r="36" spans="2:12">
      <c r="B36" s="138">
        <f t="shared" si="0"/>
        <v>0.45000000000000023</v>
      </c>
      <c r="C36" s="139">
        <f t="shared" si="4"/>
        <v>0.43800000000000006</v>
      </c>
      <c r="D36" s="139">
        <f t="shared" si="4"/>
        <v>0.45600000000000002</v>
      </c>
      <c r="E36" s="139">
        <f t="shared" si="4"/>
        <v>0.46400000000000002</v>
      </c>
      <c r="F36" s="139">
        <f t="shared" si="4"/>
        <v>0.47400000000000003</v>
      </c>
      <c r="G36" s="139">
        <f t="shared" si="4"/>
        <v>0.47400000000000003</v>
      </c>
      <c r="H36" s="139">
        <f t="shared" si="4"/>
        <v>0.48400000000000004</v>
      </c>
    </row>
    <row r="37" spans="2:12">
      <c r="B37" s="138">
        <f t="shared" si="0"/>
        <v>0.46000000000000024</v>
      </c>
      <c r="C37" s="139">
        <f t="shared" si="4"/>
        <v>0.44240000000000002</v>
      </c>
      <c r="D37" s="139">
        <f t="shared" si="4"/>
        <v>0.46079999999999999</v>
      </c>
      <c r="E37" s="139">
        <f t="shared" si="4"/>
        <v>0.46920000000000001</v>
      </c>
      <c r="F37" s="139">
        <f t="shared" si="4"/>
        <v>0.47920000000000001</v>
      </c>
      <c r="G37" s="139">
        <f t="shared" si="4"/>
        <v>0.47920000000000001</v>
      </c>
      <c r="H37" s="139">
        <f t="shared" si="4"/>
        <v>0.48920000000000002</v>
      </c>
    </row>
    <row r="38" spans="2:12">
      <c r="B38" s="138">
        <f t="shared" si="0"/>
        <v>0.47000000000000025</v>
      </c>
      <c r="C38" s="139">
        <f t="shared" si="4"/>
        <v>0.44680000000000003</v>
      </c>
      <c r="D38" s="139">
        <f t="shared" si="4"/>
        <v>0.46560000000000001</v>
      </c>
      <c r="E38" s="139">
        <f t="shared" si="4"/>
        <v>0.47440000000000004</v>
      </c>
      <c r="F38" s="139">
        <f t="shared" si="4"/>
        <v>0.48440000000000005</v>
      </c>
      <c r="G38" s="139">
        <f t="shared" si="4"/>
        <v>0.48440000000000005</v>
      </c>
      <c r="H38" s="139">
        <f t="shared" si="4"/>
        <v>0.49440000000000006</v>
      </c>
    </row>
    <row r="39" spans="2:12">
      <c r="B39" s="138">
        <f t="shared" si="0"/>
        <v>0.48000000000000026</v>
      </c>
      <c r="C39" s="139">
        <f t="shared" si="4"/>
        <v>0.45120000000000005</v>
      </c>
      <c r="D39" s="139">
        <f t="shared" si="4"/>
        <v>0.47040000000000004</v>
      </c>
      <c r="E39" s="139">
        <f t="shared" si="4"/>
        <v>0.47960000000000003</v>
      </c>
      <c r="F39" s="139">
        <f t="shared" si="4"/>
        <v>0.48960000000000004</v>
      </c>
      <c r="G39" s="139">
        <f t="shared" si="4"/>
        <v>0.48960000000000004</v>
      </c>
      <c r="H39" s="139">
        <f t="shared" si="4"/>
        <v>0.49960000000000004</v>
      </c>
    </row>
    <row r="40" spans="2:12">
      <c r="B40" s="138">
        <f t="shared" si="0"/>
        <v>0.49000000000000027</v>
      </c>
      <c r="C40" s="139">
        <f t="shared" si="4"/>
        <v>0.45560000000000006</v>
      </c>
      <c r="D40" s="139">
        <f t="shared" si="4"/>
        <v>0.47520000000000001</v>
      </c>
      <c r="E40" s="139">
        <f t="shared" si="4"/>
        <v>0.48480000000000001</v>
      </c>
      <c r="F40" s="139">
        <f t="shared" si="4"/>
        <v>0.49480000000000002</v>
      </c>
      <c r="G40" s="139">
        <f t="shared" si="4"/>
        <v>0.49480000000000002</v>
      </c>
      <c r="H40" s="139">
        <f t="shared" si="4"/>
        <v>0.50480000000000003</v>
      </c>
    </row>
    <row r="41" spans="2:12">
      <c r="B41" s="134">
        <f t="shared" si="0"/>
        <v>0.50000000000000022</v>
      </c>
      <c r="C41" s="135">
        <v>0.46</v>
      </c>
      <c r="D41" s="141">
        <v>0.48</v>
      </c>
      <c r="E41" s="141">
        <v>0.49</v>
      </c>
      <c r="F41" s="141">
        <v>0.5</v>
      </c>
      <c r="G41" s="141">
        <v>0.5</v>
      </c>
      <c r="H41" s="141">
        <v>0.51</v>
      </c>
      <c r="I41" s="34"/>
      <c r="J41" s="34"/>
      <c r="K41" s="34"/>
      <c r="L41" s="106"/>
    </row>
    <row r="42" spans="2:12">
      <c r="B42" s="138">
        <f t="shared" si="0"/>
        <v>0.51000000000000023</v>
      </c>
      <c r="C42" s="139">
        <f t="shared" ref="C42:H42" si="5">C$41+(C$66-C$41)*($B42-$B$41)/($B$66-$B$41)</f>
        <v>0.4632</v>
      </c>
      <c r="D42" s="139">
        <f t="shared" si="5"/>
        <v>0.48319999999999996</v>
      </c>
      <c r="E42" s="139">
        <f t="shared" si="5"/>
        <v>0.49319999999999997</v>
      </c>
      <c r="F42" s="139">
        <f t="shared" si="5"/>
        <v>0.50360000000000005</v>
      </c>
      <c r="G42" s="139">
        <f t="shared" si="5"/>
        <v>0.50360000000000005</v>
      </c>
      <c r="H42" s="139">
        <f t="shared" si="5"/>
        <v>0.51360000000000006</v>
      </c>
    </row>
    <row r="43" spans="2:12">
      <c r="B43" s="138">
        <f t="shared" si="0"/>
        <v>0.52000000000000024</v>
      </c>
      <c r="C43" s="139">
        <f t="shared" ref="C43:H65" si="6">C$41+(C$66-C$41)*($B43-$B$41)/($B$66-$B$41)</f>
        <v>0.46640000000000004</v>
      </c>
      <c r="D43" s="139">
        <f t="shared" si="6"/>
        <v>0.4864</v>
      </c>
      <c r="E43" s="139">
        <f t="shared" si="6"/>
        <v>0.49640000000000001</v>
      </c>
      <c r="F43" s="139">
        <f t="shared" si="6"/>
        <v>0.50719999999999998</v>
      </c>
      <c r="G43" s="139">
        <f t="shared" si="6"/>
        <v>0.50719999999999998</v>
      </c>
      <c r="H43" s="139">
        <f t="shared" si="6"/>
        <v>0.51719999999999999</v>
      </c>
    </row>
    <row r="44" spans="2:12">
      <c r="B44" s="138">
        <f t="shared" si="0"/>
        <v>0.53000000000000025</v>
      </c>
      <c r="C44" s="139">
        <f t="shared" si="6"/>
        <v>0.46960000000000002</v>
      </c>
      <c r="D44" s="139">
        <f t="shared" si="6"/>
        <v>0.48959999999999998</v>
      </c>
      <c r="E44" s="139">
        <f t="shared" si="6"/>
        <v>0.49959999999999999</v>
      </c>
      <c r="F44" s="139">
        <f t="shared" si="6"/>
        <v>0.51080000000000003</v>
      </c>
      <c r="G44" s="139">
        <f t="shared" si="6"/>
        <v>0.51080000000000003</v>
      </c>
      <c r="H44" s="139">
        <f t="shared" si="6"/>
        <v>0.52080000000000004</v>
      </c>
    </row>
    <row r="45" spans="2:12">
      <c r="B45" s="138">
        <f t="shared" si="0"/>
        <v>0.54000000000000026</v>
      </c>
      <c r="C45" s="139">
        <f t="shared" si="6"/>
        <v>0.4728</v>
      </c>
      <c r="D45" s="139">
        <f t="shared" si="6"/>
        <v>0.49280000000000002</v>
      </c>
      <c r="E45" s="139">
        <f t="shared" si="6"/>
        <v>0.50280000000000002</v>
      </c>
      <c r="F45" s="139">
        <f t="shared" si="6"/>
        <v>0.51439999999999997</v>
      </c>
      <c r="G45" s="139">
        <f t="shared" si="6"/>
        <v>0.51439999999999997</v>
      </c>
      <c r="H45" s="139">
        <f t="shared" si="6"/>
        <v>0.52439999999999998</v>
      </c>
    </row>
    <row r="46" spans="2:12">
      <c r="B46" s="138">
        <f t="shared" si="0"/>
        <v>0.55000000000000027</v>
      </c>
      <c r="C46" s="139">
        <f t="shared" si="6"/>
        <v>0.47600000000000003</v>
      </c>
      <c r="D46" s="139">
        <f t="shared" si="6"/>
        <v>0.496</v>
      </c>
      <c r="E46" s="139">
        <f t="shared" si="6"/>
        <v>0.50600000000000001</v>
      </c>
      <c r="F46" s="139">
        <f t="shared" si="6"/>
        <v>0.51800000000000002</v>
      </c>
      <c r="G46" s="139">
        <f t="shared" si="6"/>
        <v>0.51800000000000002</v>
      </c>
      <c r="H46" s="139">
        <f t="shared" si="6"/>
        <v>0.52800000000000002</v>
      </c>
    </row>
    <row r="47" spans="2:12">
      <c r="B47" s="138">
        <f t="shared" si="0"/>
        <v>0.56000000000000028</v>
      </c>
      <c r="C47" s="139">
        <f t="shared" si="6"/>
        <v>0.47920000000000001</v>
      </c>
      <c r="D47" s="139">
        <f t="shared" si="6"/>
        <v>0.49919999999999998</v>
      </c>
      <c r="E47" s="139">
        <f t="shared" si="6"/>
        <v>0.50919999999999999</v>
      </c>
      <c r="F47" s="139">
        <f t="shared" si="6"/>
        <v>0.52159999999999995</v>
      </c>
      <c r="G47" s="139">
        <f t="shared" si="6"/>
        <v>0.52159999999999995</v>
      </c>
      <c r="H47" s="139">
        <f t="shared" si="6"/>
        <v>0.53159999999999996</v>
      </c>
    </row>
    <row r="48" spans="2:12">
      <c r="B48" s="138">
        <f t="shared" si="0"/>
        <v>0.57000000000000028</v>
      </c>
      <c r="C48" s="139">
        <f t="shared" si="6"/>
        <v>0.48240000000000005</v>
      </c>
      <c r="D48" s="139">
        <f t="shared" si="6"/>
        <v>0.50239999999999996</v>
      </c>
      <c r="E48" s="139">
        <f t="shared" si="6"/>
        <v>0.51239999999999997</v>
      </c>
      <c r="F48" s="139">
        <f t="shared" si="6"/>
        <v>0.5252</v>
      </c>
      <c r="G48" s="139">
        <f t="shared" si="6"/>
        <v>0.5252</v>
      </c>
      <c r="H48" s="139">
        <f t="shared" si="6"/>
        <v>0.53520000000000001</v>
      </c>
    </row>
    <row r="49" spans="2:8">
      <c r="B49" s="138">
        <f t="shared" si="0"/>
        <v>0.58000000000000029</v>
      </c>
      <c r="C49" s="139">
        <f t="shared" si="6"/>
        <v>0.48560000000000003</v>
      </c>
      <c r="D49" s="139">
        <f t="shared" si="6"/>
        <v>0.50560000000000005</v>
      </c>
      <c r="E49" s="139">
        <f t="shared" si="6"/>
        <v>0.51559999999999995</v>
      </c>
      <c r="F49" s="139">
        <f t="shared" si="6"/>
        <v>0.52879999999999994</v>
      </c>
      <c r="G49" s="139">
        <f t="shared" si="6"/>
        <v>0.52879999999999994</v>
      </c>
      <c r="H49" s="139">
        <f t="shared" si="6"/>
        <v>0.53879999999999995</v>
      </c>
    </row>
    <row r="50" spans="2:8">
      <c r="B50" s="138">
        <f t="shared" si="0"/>
        <v>0.5900000000000003</v>
      </c>
      <c r="C50" s="139">
        <f t="shared" si="6"/>
        <v>0.48880000000000001</v>
      </c>
      <c r="D50" s="139">
        <f t="shared" si="6"/>
        <v>0.50880000000000003</v>
      </c>
      <c r="E50" s="139">
        <f t="shared" si="6"/>
        <v>0.51879999999999993</v>
      </c>
      <c r="F50" s="139">
        <f t="shared" si="6"/>
        <v>0.53239999999999998</v>
      </c>
      <c r="G50" s="139">
        <f t="shared" si="6"/>
        <v>0.53239999999999998</v>
      </c>
      <c r="H50" s="139">
        <f t="shared" si="6"/>
        <v>0.54239999999999999</v>
      </c>
    </row>
    <row r="51" spans="2:8">
      <c r="B51" s="138">
        <f t="shared" si="0"/>
        <v>0.60000000000000031</v>
      </c>
      <c r="C51" s="139">
        <f t="shared" si="6"/>
        <v>0.49200000000000005</v>
      </c>
      <c r="D51" s="139">
        <f t="shared" si="6"/>
        <v>0.51200000000000001</v>
      </c>
      <c r="E51" s="139">
        <f t="shared" si="6"/>
        <v>0.52200000000000002</v>
      </c>
      <c r="F51" s="139">
        <f t="shared" si="6"/>
        <v>0.53600000000000003</v>
      </c>
      <c r="G51" s="139">
        <f t="shared" si="6"/>
        <v>0.53600000000000003</v>
      </c>
      <c r="H51" s="139">
        <f t="shared" si="6"/>
        <v>0.54600000000000004</v>
      </c>
    </row>
    <row r="52" spans="2:8">
      <c r="B52" s="138">
        <f t="shared" si="0"/>
        <v>0.61000000000000032</v>
      </c>
      <c r="C52" s="139">
        <f t="shared" si="6"/>
        <v>0.49520000000000003</v>
      </c>
      <c r="D52" s="139">
        <f t="shared" si="6"/>
        <v>0.51519999999999999</v>
      </c>
      <c r="E52" s="139">
        <f t="shared" si="6"/>
        <v>0.5252</v>
      </c>
      <c r="F52" s="139">
        <f t="shared" si="6"/>
        <v>0.53959999999999997</v>
      </c>
      <c r="G52" s="139">
        <f t="shared" si="6"/>
        <v>0.53959999999999997</v>
      </c>
      <c r="H52" s="139">
        <f t="shared" si="6"/>
        <v>0.54959999999999998</v>
      </c>
    </row>
    <row r="53" spans="2:8">
      <c r="B53" s="138">
        <f t="shared" si="0"/>
        <v>0.62000000000000033</v>
      </c>
      <c r="C53" s="139">
        <f t="shared" si="6"/>
        <v>0.49840000000000001</v>
      </c>
      <c r="D53" s="139">
        <f t="shared" si="6"/>
        <v>0.51839999999999997</v>
      </c>
      <c r="E53" s="139">
        <f t="shared" si="6"/>
        <v>0.52839999999999998</v>
      </c>
      <c r="F53" s="139">
        <f t="shared" si="6"/>
        <v>0.54320000000000002</v>
      </c>
      <c r="G53" s="139">
        <f t="shared" si="6"/>
        <v>0.54320000000000002</v>
      </c>
      <c r="H53" s="139">
        <f t="shared" si="6"/>
        <v>0.55320000000000003</v>
      </c>
    </row>
    <row r="54" spans="2:8">
      <c r="B54" s="138">
        <f t="shared" si="0"/>
        <v>0.63000000000000034</v>
      </c>
      <c r="C54" s="139">
        <f t="shared" si="6"/>
        <v>0.50160000000000005</v>
      </c>
      <c r="D54" s="139">
        <f t="shared" si="6"/>
        <v>0.52160000000000006</v>
      </c>
      <c r="E54" s="139">
        <f t="shared" si="6"/>
        <v>0.53159999999999996</v>
      </c>
      <c r="F54" s="139">
        <f t="shared" si="6"/>
        <v>0.54679999999999995</v>
      </c>
      <c r="G54" s="139">
        <f t="shared" si="6"/>
        <v>0.54679999999999995</v>
      </c>
      <c r="H54" s="139">
        <f t="shared" si="6"/>
        <v>0.55679999999999996</v>
      </c>
    </row>
    <row r="55" spans="2:8">
      <c r="B55" s="138">
        <f t="shared" si="0"/>
        <v>0.64000000000000035</v>
      </c>
      <c r="C55" s="139">
        <f t="shared" si="6"/>
        <v>0.50480000000000003</v>
      </c>
      <c r="D55" s="139">
        <f t="shared" si="6"/>
        <v>0.52480000000000004</v>
      </c>
      <c r="E55" s="139">
        <f t="shared" si="6"/>
        <v>0.53479999999999994</v>
      </c>
      <c r="F55" s="139">
        <f t="shared" si="6"/>
        <v>0.5504</v>
      </c>
      <c r="G55" s="139">
        <f t="shared" si="6"/>
        <v>0.5504</v>
      </c>
      <c r="H55" s="139">
        <f t="shared" si="6"/>
        <v>0.56040000000000001</v>
      </c>
    </row>
    <row r="56" spans="2:8">
      <c r="B56" s="138">
        <f t="shared" si="0"/>
        <v>0.65000000000000036</v>
      </c>
      <c r="C56" s="139">
        <f t="shared" si="6"/>
        <v>0.50800000000000001</v>
      </c>
      <c r="D56" s="139">
        <f t="shared" si="6"/>
        <v>0.52800000000000002</v>
      </c>
      <c r="E56" s="139">
        <f t="shared" si="6"/>
        <v>0.53799999999999992</v>
      </c>
      <c r="F56" s="139">
        <f t="shared" si="6"/>
        <v>0.55399999999999994</v>
      </c>
      <c r="G56" s="139">
        <f t="shared" si="6"/>
        <v>0.55399999999999994</v>
      </c>
      <c r="H56" s="139">
        <f t="shared" si="6"/>
        <v>0.56399999999999995</v>
      </c>
    </row>
    <row r="57" spans="2:8">
      <c r="B57" s="138">
        <f t="shared" si="0"/>
        <v>0.66000000000000036</v>
      </c>
      <c r="C57" s="139">
        <f t="shared" si="6"/>
        <v>0.51119999999999999</v>
      </c>
      <c r="D57" s="139">
        <f t="shared" si="6"/>
        <v>0.53120000000000001</v>
      </c>
      <c r="E57" s="139">
        <f t="shared" si="6"/>
        <v>0.54120000000000001</v>
      </c>
      <c r="F57" s="139">
        <f t="shared" si="6"/>
        <v>0.55759999999999998</v>
      </c>
      <c r="G57" s="139">
        <f t="shared" si="6"/>
        <v>0.55759999999999998</v>
      </c>
      <c r="H57" s="139">
        <f t="shared" si="6"/>
        <v>0.56759999999999999</v>
      </c>
    </row>
    <row r="58" spans="2:8">
      <c r="B58" s="138">
        <f t="shared" si="0"/>
        <v>0.67000000000000037</v>
      </c>
      <c r="C58" s="139">
        <f t="shared" si="6"/>
        <v>0.51440000000000008</v>
      </c>
      <c r="D58" s="139">
        <f t="shared" si="6"/>
        <v>0.53439999999999999</v>
      </c>
      <c r="E58" s="139">
        <f t="shared" si="6"/>
        <v>0.5444</v>
      </c>
      <c r="F58" s="139">
        <f t="shared" si="6"/>
        <v>0.56119999999999992</v>
      </c>
      <c r="G58" s="139">
        <f t="shared" si="6"/>
        <v>0.56119999999999992</v>
      </c>
      <c r="H58" s="139">
        <f t="shared" si="6"/>
        <v>0.57119999999999993</v>
      </c>
    </row>
    <row r="59" spans="2:8">
      <c r="B59" s="138">
        <f t="shared" si="0"/>
        <v>0.68000000000000038</v>
      </c>
      <c r="C59" s="139">
        <f t="shared" si="6"/>
        <v>0.51760000000000006</v>
      </c>
      <c r="D59" s="139">
        <f t="shared" si="6"/>
        <v>0.53760000000000008</v>
      </c>
      <c r="E59" s="139">
        <f t="shared" si="6"/>
        <v>0.54759999999999998</v>
      </c>
      <c r="F59" s="139">
        <f t="shared" si="6"/>
        <v>0.56479999999999997</v>
      </c>
      <c r="G59" s="139">
        <f t="shared" si="6"/>
        <v>0.56479999999999997</v>
      </c>
      <c r="H59" s="139">
        <f t="shared" si="6"/>
        <v>0.57479999999999998</v>
      </c>
    </row>
    <row r="60" spans="2:8">
      <c r="B60" s="138">
        <f t="shared" si="0"/>
        <v>0.69000000000000039</v>
      </c>
      <c r="C60" s="139">
        <f t="shared" si="6"/>
        <v>0.52080000000000004</v>
      </c>
      <c r="D60" s="139">
        <f t="shared" si="6"/>
        <v>0.54080000000000006</v>
      </c>
      <c r="E60" s="139">
        <f t="shared" si="6"/>
        <v>0.55079999999999996</v>
      </c>
      <c r="F60" s="139">
        <f t="shared" si="6"/>
        <v>0.56840000000000002</v>
      </c>
      <c r="G60" s="139">
        <f t="shared" si="6"/>
        <v>0.56840000000000002</v>
      </c>
      <c r="H60" s="139">
        <f t="shared" si="6"/>
        <v>0.57840000000000003</v>
      </c>
    </row>
    <row r="61" spans="2:8">
      <c r="B61" s="138">
        <f t="shared" si="0"/>
        <v>0.7000000000000004</v>
      </c>
      <c r="C61" s="139">
        <f t="shared" si="6"/>
        <v>0.52400000000000002</v>
      </c>
      <c r="D61" s="139">
        <f t="shared" si="6"/>
        <v>0.54400000000000004</v>
      </c>
      <c r="E61" s="139">
        <f t="shared" si="6"/>
        <v>0.55399999999999994</v>
      </c>
      <c r="F61" s="139">
        <f t="shared" si="6"/>
        <v>0.57199999999999995</v>
      </c>
      <c r="G61" s="139">
        <f t="shared" si="6"/>
        <v>0.57199999999999995</v>
      </c>
      <c r="H61" s="139">
        <f t="shared" si="6"/>
        <v>0.58199999999999996</v>
      </c>
    </row>
    <row r="62" spans="2:8">
      <c r="B62" s="138">
        <f t="shared" si="0"/>
        <v>0.71000000000000041</v>
      </c>
      <c r="C62" s="139">
        <f t="shared" si="6"/>
        <v>0.5272</v>
      </c>
      <c r="D62" s="139">
        <f t="shared" si="6"/>
        <v>0.54720000000000002</v>
      </c>
      <c r="E62" s="139">
        <f t="shared" si="6"/>
        <v>0.55719999999999992</v>
      </c>
      <c r="F62" s="139">
        <f t="shared" si="6"/>
        <v>0.5756</v>
      </c>
      <c r="G62" s="139">
        <f t="shared" si="6"/>
        <v>0.5756</v>
      </c>
      <c r="H62" s="139">
        <f t="shared" si="6"/>
        <v>0.58560000000000001</v>
      </c>
    </row>
    <row r="63" spans="2:8">
      <c r="B63" s="138">
        <f t="shared" si="0"/>
        <v>0.72000000000000042</v>
      </c>
      <c r="C63" s="139">
        <f t="shared" si="6"/>
        <v>0.53039999999999998</v>
      </c>
      <c r="D63" s="139">
        <f t="shared" si="6"/>
        <v>0.5504</v>
      </c>
      <c r="E63" s="139">
        <f t="shared" si="6"/>
        <v>0.56040000000000001</v>
      </c>
      <c r="F63" s="139">
        <f t="shared" si="6"/>
        <v>0.57919999999999994</v>
      </c>
      <c r="G63" s="139">
        <f t="shared" si="6"/>
        <v>0.57919999999999994</v>
      </c>
      <c r="H63" s="139">
        <f t="shared" si="6"/>
        <v>0.58919999999999995</v>
      </c>
    </row>
    <row r="64" spans="2:8">
      <c r="B64" s="138">
        <f t="shared" si="0"/>
        <v>0.73000000000000043</v>
      </c>
      <c r="C64" s="139">
        <f t="shared" si="6"/>
        <v>0.53360000000000007</v>
      </c>
      <c r="D64" s="139">
        <f t="shared" si="6"/>
        <v>0.55360000000000009</v>
      </c>
      <c r="E64" s="139">
        <f t="shared" si="6"/>
        <v>0.56359999999999999</v>
      </c>
      <c r="F64" s="139">
        <f t="shared" si="6"/>
        <v>0.58279999999999998</v>
      </c>
      <c r="G64" s="139">
        <f t="shared" si="6"/>
        <v>0.58279999999999998</v>
      </c>
      <c r="H64" s="139">
        <f t="shared" si="6"/>
        <v>0.59279999999999999</v>
      </c>
    </row>
    <row r="65" spans="2:8">
      <c r="B65" s="138">
        <f t="shared" si="0"/>
        <v>0.74000000000000044</v>
      </c>
      <c r="C65" s="139">
        <f t="shared" si="6"/>
        <v>0.53680000000000005</v>
      </c>
      <c r="D65" s="139">
        <f t="shared" si="6"/>
        <v>0.55680000000000007</v>
      </c>
      <c r="E65" s="139">
        <f t="shared" si="6"/>
        <v>0.56679999999999997</v>
      </c>
      <c r="F65" s="139">
        <f t="shared" si="6"/>
        <v>0.58639999999999992</v>
      </c>
      <c r="G65" s="139">
        <f t="shared" si="6"/>
        <v>0.58639999999999992</v>
      </c>
      <c r="H65" s="139">
        <f t="shared" si="6"/>
        <v>0.59639999999999993</v>
      </c>
    </row>
    <row r="66" spans="2:8">
      <c r="B66" s="134">
        <f t="shared" si="0"/>
        <v>0.75000000000000044</v>
      </c>
      <c r="C66" s="141">
        <v>0.54</v>
      </c>
      <c r="D66" s="141">
        <v>0.56000000000000005</v>
      </c>
      <c r="E66" s="141">
        <v>0.56999999999999995</v>
      </c>
      <c r="F66" s="141">
        <v>0.59</v>
      </c>
      <c r="G66" s="141">
        <v>0.59</v>
      </c>
      <c r="H66" s="141">
        <v>0.6</v>
      </c>
    </row>
    <row r="67" spans="2:8">
      <c r="B67" s="138">
        <f t="shared" si="0"/>
        <v>0.76000000000000045</v>
      </c>
      <c r="C67" s="139">
        <f t="shared" ref="C67:H67" si="7">C$66+(C$91-C$66)*($B67-$B$66)/($B$91-$B$66)</f>
        <v>0.54239999999999999</v>
      </c>
      <c r="D67" s="139">
        <f t="shared" si="7"/>
        <v>0.56240000000000001</v>
      </c>
      <c r="E67" s="139">
        <f t="shared" si="7"/>
        <v>0.57279999999999998</v>
      </c>
      <c r="F67" s="139">
        <f t="shared" si="7"/>
        <v>0.59279999999999999</v>
      </c>
      <c r="G67" s="139">
        <f t="shared" si="7"/>
        <v>0.59319999999999995</v>
      </c>
      <c r="H67" s="139">
        <f t="shared" si="7"/>
        <v>0.60319999999999996</v>
      </c>
    </row>
    <row r="68" spans="2:8">
      <c r="B68" s="138">
        <f t="shared" si="0"/>
        <v>0.77000000000000046</v>
      </c>
      <c r="C68" s="139">
        <f t="shared" ref="C68:H90" si="8">C$66+(C$91-C$66)*($B68-$B$66)/($B$91-$B$66)</f>
        <v>0.54480000000000006</v>
      </c>
      <c r="D68" s="139">
        <f t="shared" si="8"/>
        <v>0.56480000000000008</v>
      </c>
      <c r="E68" s="139">
        <f t="shared" si="8"/>
        <v>0.5756</v>
      </c>
      <c r="F68" s="139">
        <f t="shared" si="8"/>
        <v>0.59560000000000002</v>
      </c>
      <c r="G68" s="139">
        <f t="shared" si="8"/>
        <v>0.59639999999999993</v>
      </c>
      <c r="H68" s="139">
        <f t="shared" si="8"/>
        <v>0.60639999999999994</v>
      </c>
    </row>
    <row r="69" spans="2:8">
      <c r="B69" s="138">
        <f t="shared" si="0"/>
        <v>0.78000000000000047</v>
      </c>
      <c r="C69" s="139">
        <f t="shared" si="8"/>
        <v>0.54720000000000002</v>
      </c>
      <c r="D69" s="139">
        <f t="shared" si="8"/>
        <v>0.56720000000000004</v>
      </c>
      <c r="E69" s="139">
        <f t="shared" si="8"/>
        <v>0.57839999999999991</v>
      </c>
      <c r="F69" s="139">
        <f t="shared" si="8"/>
        <v>0.59839999999999993</v>
      </c>
      <c r="G69" s="139">
        <f t="shared" si="8"/>
        <v>0.59960000000000002</v>
      </c>
      <c r="H69" s="139">
        <f t="shared" si="8"/>
        <v>0.60960000000000003</v>
      </c>
    </row>
    <row r="70" spans="2:8">
      <c r="B70" s="138">
        <f t="shared" si="0"/>
        <v>0.79000000000000048</v>
      </c>
      <c r="C70" s="139">
        <f t="shared" si="8"/>
        <v>0.54959999999999998</v>
      </c>
      <c r="D70" s="139">
        <f t="shared" si="8"/>
        <v>0.5696</v>
      </c>
      <c r="E70" s="139">
        <f t="shared" si="8"/>
        <v>0.58119999999999994</v>
      </c>
      <c r="F70" s="139">
        <f t="shared" si="8"/>
        <v>0.60119999999999996</v>
      </c>
      <c r="G70" s="139">
        <f t="shared" si="8"/>
        <v>0.6028</v>
      </c>
      <c r="H70" s="139">
        <f t="shared" si="8"/>
        <v>0.61280000000000001</v>
      </c>
    </row>
    <row r="71" spans="2:8">
      <c r="B71" s="138">
        <f t="shared" ref="B71:B134" si="9">B70+0.01</f>
        <v>0.80000000000000049</v>
      </c>
      <c r="C71" s="139">
        <f t="shared" si="8"/>
        <v>0.55200000000000005</v>
      </c>
      <c r="D71" s="139">
        <f t="shared" si="8"/>
        <v>0.57200000000000006</v>
      </c>
      <c r="E71" s="139">
        <f t="shared" si="8"/>
        <v>0.58399999999999996</v>
      </c>
      <c r="F71" s="139">
        <f t="shared" si="8"/>
        <v>0.60399999999999998</v>
      </c>
      <c r="G71" s="139">
        <f t="shared" si="8"/>
        <v>0.60599999999999998</v>
      </c>
      <c r="H71" s="139">
        <f t="shared" si="8"/>
        <v>0.61599999999999999</v>
      </c>
    </row>
    <row r="72" spans="2:8">
      <c r="B72" s="138">
        <f t="shared" si="9"/>
        <v>0.8100000000000005</v>
      </c>
      <c r="C72" s="139">
        <f t="shared" si="8"/>
        <v>0.5544</v>
      </c>
      <c r="D72" s="139">
        <f t="shared" si="8"/>
        <v>0.57440000000000002</v>
      </c>
      <c r="E72" s="139">
        <f t="shared" si="8"/>
        <v>0.58679999999999999</v>
      </c>
      <c r="F72" s="139">
        <f t="shared" si="8"/>
        <v>0.60680000000000001</v>
      </c>
      <c r="G72" s="139">
        <f t="shared" si="8"/>
        <v>0.60919999999999996</v>
      </c>
      <c r="H72" s="139">
        <f t="shared" si="8"/>
        <v>0.61919999999999997</v>
      </c>
    </row>
    <row r="73" spans="2:8">
      <c r="B73" s="138">
        <f t="shared" si="9"/>
        <v>0.82000000000000051</v>
      </c>
      <c r="C73" s="139">
        <f t="shared" si="8"/>
        <v>0.55680000000000007</v>
      </c>
      <c r="D73" s="139">
        <f t="shared" si="8"/>
        <v>0.57680000000000009</v>
      </c>
      <c r="E73" s="139">
        <f t="shared" si="8"/>
        <v>0.58960000000000001</v>
      </c>
      <c r="F73" s="139">
        <f t="shared" si="8"/>
        <v>0.60960000000000003</v>
      </c>
      <c r="G73" s="139">
        <f t="shared" si="8"/>
        <v>0.61239999999999994</v>
      </c>
      <c r="H73" s="139">
        <f t="shared" si="8"/>
        <v>0.62239999999999995</v>
      </c>
    </row>
    <row r="74" spans="2:8">
      <c r="B74" s="138">
        <f t="shared" si="9"/>
        <v>0.83000000000000052</v>
      </c>
      <c r="C74" s="139">
        <f t="shared" si="8"/>
        <v>0.55920000000000003</v>
      </c>
      <c r="D74" s="139">
        <f t="shared" si="8"/>
        <v>0.57920000000000005</v>
      </c>
      <c r="E74" s="139">
        <f t="shared" si="8"/>
        <v>0.59239999999999993</v>
      </c>
      <c r="F74" s="139">
        <f t="shared" si="8"/>
        <v>0.61239999999999994</v>
      </c>
      <c r="G74" s="139">
        <f t="shared" si="8"/>
        <v>0.61560000000000004</v>
      </c>
      <c r="H74" s="139">
        <f t="shared" si="8"/>
        <v>0.62560000000000004</v>
      </c>
    </row>
    <row r="75" spans="2:8">
      <c r="B75" s="138">
        <f t="shared" si="9"/>
        <v>0.84000000000000052</v>
      </c>
      <c r="C75" s="139">
        <f t="shared" si="8"/>
        <v>0.56159999999999999</v>
      </c>
      <c r="D75" s="139">
        <f t="shared" si="8"/>
        <v>0.58160000000000001</v>
      </c>
      <c r="E75" s="139">
        <f t="shared" si="8"/>
        <v>0.59519999999999995</v>
      </c>
      <c r="F75" s="139">
        <f t="shared" si="8"/>
        <v>0.61519999999999997</v>
      </c>
      <c r="G75" s="139">
        <f t="shared" si="8"/>
        <v>0.61880000000000002</v>
      </c>
      <c r="H75" s="139">
        <f t="shared" si="8"/>
        <v>0.62880000000000003</v>
      </c>
    </row>
    <row r="76" spans="2:8">
      <c r="B76" s="138">
        <f t="shared" si="9"/>
        <v>0.85000000000000053</v>
      </c>
      <c r="C76" s="139">
        <f t="shared" si="8"/>
        <v>0.56400000000000006</v>
      </c>
      <c r="D76" s="139">
        <f t="shared" si="8"/>
        <v>0.58400000000000007</v>
      </c>
      <c r="E76" s="139">
        <f t="shared" si="8"/>
        <v>0.59799999999999998</v>
      </c>
      <c r="F76" s="139">
        <f t="shared" si="8"/>
        <v>0.61799999999999999</v>
      </c>
      <c r="G76" s="139">
        <f t="shared" si="8"/>
        <v>0.622</v>
      </c>
      <c r="H76" s="139">
        <f t="shared" si="8"/>
        <v>0.63200000000000001</v>
      </c>
    </row>
    <row r="77" spans="2:8">
      <c r="B77" s="138">
        <f t="shared" si="9"/>
        <v>0.86000000000000054</v>
      </c>
      <c r="C77" s="139">
        <f t="shared" si="8"/>
        <v>0.56640000000000001</v>
      </c>
      <c r="D77" s="139">
        <f t="shared" si="8"/>
        <v>0.58640000000000003</v>
      </c>
      <c r="E77" s="139">
        <f t="shared" si="8"/>
        <v>0.6008</v>
      </c>
      <c r="F77" s="139">
        <f t="shared" si="8"/>
        <v>0.62080000000000002</v>
      </c>
      <c r="G77" s="139">
        <f t="shared" si="8"/>
        <v>0.62519999999999998</v>
      </c>
      <c r="H77" s="139">
        <f t="shared" si="8"/>
        <v>0.63519999999999999</v>
      </c>
    </row>
    <row r="78" spans="2:8">
      <c r="B78" s="138">
        <f t="shared" si="9"/>
        <v>0.87000000000000055</v>
      </c>
      <c r="C78" s="139">
        <f t="shared" si="8"/>
        <v>0.56879999999999997</v>
      </c>
      <c r="D78" s="139">
        <f t="shared" si="8"/>
        <v>0.58879999999999999</v>
      </c>
      <c r="E78" s="139">
        <f t="shared" si="8"/>
        <v>0.60360000000000003</v>
      </c>
      <c r="F78" s="139">
        <f t="shared" si="8"/>
        <v>0.62360000000000004</v>
      </c>
      <c r="G78" s="139">
        <f t="shared" si="8"/>
        <v>0.62839999999999996</v>
      </c>
      <c r="H78" s="139">
        <f t="shared" si="8"/>
        <v>0.63839999999999997</v>
      </c>
    </row>
    <row r="79" spans="2:8">
      <c r="B79" s="138">
        <f t="shared" si="9"/>
        <v>0.88000000000000056</v>
      </c>
      <c r="C79" s="139">
        <f t="shared" si="8"/>
        <v>0.57120000000000004</v>
      </c>
      <c r="D79" s="139">
        <f t="shared" si="8"/>
        <v>0.59120000000000006</v>
      </c>
      <c r="E79" s="139">
        <f t="shared" si="8"/>
        <v>0.60639999999999994</v>
      </c>
      <c r="F79" s="139">
        <f t="shared" si="8"/>
        <v>0.62639999999999996</v>
      </c>
      <c r="G79" s="139">
        <f t="shared" si="8"/>
        <v>0.63160000000000005</v>
      </c>
      <c r="H79" s="139">
        <f t="shared" si="8"/>
        <v>0.64160000000000006</v>
      </c>
    </row>
    <row r="80" spans="2:8">
      <c r="B80" s="138">
        <f t="shared" si="9"/>
        <v>0.89000000000000057</v>
      </c>
      <c r="C80" s="139">
        <f t="shared" si="8"/>
        <v>0.5736</v>
      </c>
      <c r="D80" s="139">
        <f t="shared" si="8"/>
        <v>0.59360000000000002</v>
      </c>
      <c r="E80" s="139">
        <f t="shared" si="8"/>
        <v>0.60919999999999996</v>
      </c>
      <c r="F80" s="139">
        <f t="shared" si="8"/>
        <v>0.62919999999999998</v>
      </c>
      <c r="G80" s="139">
        <f t="shared" si="8"/>
        <v>0.63480000000000003</v>
      </c>
      <c r="H80" s="139">
        <f t="shared" si="8"/>
        <v>0.64480000000000004</v>
      </c>
    </row>
    <row r="81" spans="2:8">
      <c r="B81" s="138">
        <f t="shared" si="9"/>
        <v>0.90000000000000058</v>
      </c>
      <c r="C81" s="139">
        <f t="shared" si="8"/>
        <v>0.57599999999999996</v>
      </c>
      <c r="D81" s="139">
        <f t="shared" si="8"/>
        <v>0.59599999999999997</v>
      </c>
      <c r="E81" s="139">
        <f t="shared" si="8"/>
        <v>0.61199999999999999</v>
      </c>
      <c r="F81" s="139">
        <f t="shared" si="8"/>
        <v>0.63200000000000001</v>
      </c>
      <c r="G81" s="139">
        <f t="shared" si="8"/>
        <v>0.63800000000000001</v>
      </c>
      <c r="H81" s="139">
        <f t="shared" si="8"/>
        <v>0.64800000000000002</v>
      </c>
    </row>
    <row r="82" spans="2:8">
      <c r="B82" s="138">
        <f t="shared" si="9"/>
        <v>0.91000000000000059</v>
      </c>
      <c r="C82" s="139">
        <f t="shared" si="8"/>
        <v>0.57840000000000003</v>
      </c>
      <c r="D82" s="139">
        <f t="shared" si="8"/>
        <v>0.59840000000000004</v>
      </c>
      <c r="E82" s="139">
        <f t="shared" si="8"/>
        <v>0.61480000000000001</v>
      </c>
      <c r="F82" s="139">
        <f t="shared" si="8"/>
        <v>0.63480000000000003</v>
      </c>
      <c r="G82" s="139">
        <f t="shared" si="8"/>
        <v>0.64119999999999999</v>
      </c>
      <c r="H82" s="139">
        <f t="shared" si="8"/>
        <v>0.6512</v>
      </c>
    </row>
    <row r="83" spans="2:8">
      <c r="B83" s="138">
        <f t="shared" si="9"/>
        <v>0.9200000000000006</v>
      </c>
      <c r="C83" s="139">
        <f t="shared" si="8"/>
        <v>0.58079999999999998</v>
      </c>
      <c r="D83" s="139">
        <f t="shared" si="8"/>
        <v>0.6008</v>
      </c>
      <c r="E83" s="139">
        <f t="shared" si="8"/>
        <v>0.61760000000000004</v>
      </c>
      <c r="F83" s="139">
        <f t="shared" si="8"/>
        <v>0.63760000000000006</v>
      </c>
      <c r="G83" s="139">
        <f t="shared" si="8"/>
        <v>0.64439999999999997</v>
      </c>
      <c r="H83" s="139">
        <f t="shared" si="8"/>
        <v>0.65439999999999998</v>
      </c>
    </row>
    <row r="84" spans="2:8">
      <c r="B84" s="138">
        <f t="shared" si="9"/>
        <v>0.9300000000000006</v>
      </c>
      <c r="C84" s="139">
        <f t="shared" si="8"/>
        <v>0.58319999999999994</v>
      </c>
      <c r="D84" s="139">
        <f t="shared" si="8"/>
        <v>0.60319999999999996</v>
      </c>
      <c r="E84" s="139">
        <f t="shared" si="8"/>
        <v>0.62039999999999995</v>
      </c>
      <c r="F84" s="139">
        <f t="shared" si="8"/>
        <v>0.64039999999999997</v>
      </c>
      <c r="G84" s="139">
        <f t="shared" si="8"/>
        <v>0.64760000000000006</v>
      </c>
      <c r="H84" s="139">
        <f t="shared" si="8"/>
        <v>0.65760000000000007</v>
      </c>
    </row>
    <row r="85" spans="2:8">
      <c r="B85" s="138">
        <f t="shared" si="9"/>
        <v>0.94000000000000061</v>
      </c>
      <c r="C85" s="139">
        <f t="shared" si="8"/>
        <v>0.58560000000000001</v>
      </c>
      <c r="D85" s="139">
        <f t="shared" si="8"/>
        <v>0.60560000000000003</v>
      </c>
      <c r="E85" s="139">
        <f t="shared" si="8"/>
        <v>0.62319999999999998</v>
      </c>
      <c r="F85" s="139">
        <f t="shared" si="8"/>
        <v>0.64319999999999999</v>
      </c>
      <c r="G85" s="139">
        <f t="shared" si="8"/>
        <v>0.65080000000000005</v>
      </c>
      <c r="H85" s="139">
        <f t="shared" si="8"/>
        <v>0.66080000000000005</v>
      </c>
    </row>
    <row r="86" spans="2:8">
      <c r="B86" s="138">
        <f t="shared" si="9"/>
        <v>0.95000000000000062</v>
      </c>
      <c r="C86" s="139">
        <f t="shared" si="8"/>
        <v>0.58799999999999997</v>
      </c>
      <c r="D86" s="139">
        <f t="shared" si="8"/>
        <v>0.60799999999999998</v>
      </c>
      <c r="E86" s="139">
        <f t="shared" si="8"/>
        <v>0.626</v>
      </c>
      <c r="F86" s="139">
        <f t="shared" si="8"/>
        <v>0.64600000000000002</v>
      </c>
      <c r="G86" s="139">
        <f t="shared" si="8"/>
        <v>0.65400000000000003</v>
      </c>
      <c r="H86" s="139">
        <f t="shared" si="8"/>
        <v>0.66400000000000003</v>
      </c>
    </row>
    <row r="87" spans="2:8">
      <c r="B87" s="138">
        <f t="shared" si="9"/>
        <v>0.96000000000000063</v>
      </c>
      <c r="C87" s="139">
        <f t="shared" si="8"/>
        <v>0.59040000000000004</v>
      </c>
      <c r="D87" s="139">
        <f t="shared" si="8"/>
        <v>0.61040000000000005</v>
      </c>
      <c r="E87" s="139">
        <f t="shared" si="8"/>
        <v>0.62880000000000003</v>
      </c>
      <c r="F87" s="139">
        <f t="shared" si="8"/>
        <v>0.64880000000000004</v>
      </c>
      <c r="G87" s="139">
        <f t="shared" si="8"/>
        <v>0.65720000000000001</v>
      </c>
      <c r="H87" s="139">
        <f t="shared" si="8"/>
        <v>0.66720000000000002</v>
      </c>
    </row>
    <row r="88" spans="2:8">
      <c r="B88" s="138">
        <f t="shared" si="9"/>
        <v>0.97000000000000064</v>
      </c>
      <c r="C88" s="139">
        <f t="shared" si="8"/>
        <v>0.59279999999999999</v>
      </c>
      <c r="D88" s="139">
        <f t="shared" si="8"/>
        <v>0.61280000000000001</v>
      </c>
      <c r="E88" s="139">
        <f t="shared" si="8"/>
        <v>0.63160000000000005</v>
      </c>
      <c r="F88" s="139">
        <f t="shared" si="8"/>
        <v>0.65160000000000007</v>
      </c>
      <c r="G88" s="139">
        <f t="shared" si="8"/>
        <v>0.66039999999999999</v>
      </c>
      <c r="H88" s="139">
        <f t="shared" si="8"/>
        <v>0.6704</v>
      </c>
    </row>
    <row r="89" spans="2:8">
      <c r="B89" s="138">
        <f t="shared" si="9"/>
        <v>0.98000000000000065</v>
      </c>
      <c r="C89" s="139">
        <f t="shared" si="8"/>
        <v>0.59519999999999995</v>
      </c>
      <c r="D89" s="139">
        <f t="shared" si="8"/>
        <v>0.61519999999999997</v>
      </c>
      <c r="E89" s="139">
        <f t="shared" si="8"/>
        <v>0.63439999999999996</v>
      </c>
      <c r="F89" s="139">
        <f t="shared" si="8"/>
        <v>0.65439999999999998</v>
      </c>
      <c r="G89" s="139">
        <f t="shared" si="8"/>
        <v>0.66360000000000008</v>
      </c>
      <c r="H89" s="139">
        <f t="shared" si="8"/>
        <v>0.67360000000000009</v>
      </c>
    </row>
    <row r="90" spans="2:8">
      <c r="B90" s="138">
        <f t="shared" si="9"/>
        <v>0.99000000000000066</v>
      </c>
      <c r="C90" s="139">
        <f t="shared" si="8"/>
        <v>0.59760000000000002</v>
      </c>
      <c r="D90" s="139">
        <f t="shared" si="8"/>
        <v>0.61760000000000004</v>
      </c>
      <c r="E90" s="139">
        <f t="shared" si="8"/>
        <v>0.63719999999999999</v>
      </c>
      <c r="F90" s="139">
        <f t="shared" si="8"/>
        <v>0.65720000000000001</v>
      </c>
      <c r="G90" s="139">
        <f t="shared" si="8"/>
        <v>0.66680000000000006</v>
      </c>
      <c r="H90" s="139">
        <f t="shared" si="8"/>
        <v>0.67680000000000007</v>
      </c>
    </row>
    <row r="91" spans="2:8">
      <c r="B91" s="134">
        <f t="shared" si="9"/>
        <v>1.0000000000000007</v>
      </c>
      <c r="C91" s="141">
        <v>0.6</v>
      </c>
      <c r="D91" s="141">
        <v>0.62</v>
      </c>
      <c r="E91" s="141">
        <v>0.64</v>
      </c>
      <c r="F91" s="141">
        <v>0.66</v>
      </c>
      <c r="G91" s="141">
        <v>0.67</v>
      </c>
      <c r="H91" s="141">
        <v>0.68</v>
      </c>
    </row>
    <row r="92" spans="2:8">
      <c r="B92" s="138">
        <f t="shared" si="9"/>
        <v>1.0100000000000007</v>
      </c>
      <c r="C92" s="142">
        <f t="shared" ref="C92:H92" si="10">C$91+(C$116-C$91)*($B92-$B$91)/($B$116-$B$91)</f>
        <v>0.60160000000000002</v>
      </c>
      <c r="D92" s="142">
        <f t="shared" si="10"/>
        <v>0.622</v>
      </c>
      <c r="E92" s="142">
        <f t="shared" si="10"/>
        <v>0.64239999999999997</v>
      </c>
      <c r="F92" s="142">
        <f t="shared" si="10"/>
        <v>0.66200000000000003</v>
      </c>
      <c r="G92" s="142">
        <f t="shared" si="10"/>
        <v>0.6724</v>
      </c>
      <c r="H92" s="142">
        <f t="shared" si="10"/>
        <v>0.68240000000000001</v>
      </c>
    </row>
    <row r="93" spans="2:8">
      <c r="B93" s="138">
        <f t="shared" si="9"/>
        <v>1.0200000000000007</v>
      </c>
      <c r="C93" s="142">
        <f t="shared" ref="C93:H115" si="11">C$91+(C$116-C$91)*($B93-$B$91)/($B$116-$B$91)</f>
        <v>0.60319999999999996</v>
      </c>
      <c r="D93" s="142">
        <f t="shared" si="11"/>
        <v>0.624</v>
      </c>
      <c r="E93" s="142">
        <f t="shared" si="11"/>
        <v>0.64480000000000004</v>
      </c>
      <c r="F93" s="142">
        <f t="shared" si="11"/>
        <v>0.66400000000000003</v>
      </c>
      <c r="G93" s="142">
        <f t="shared" si="11"/>
        <v>0.67480000000000007</v>
      </c>
      <c r="H93" s="142">
        <f t="shared" si="11"/>
        <v>0.68480000000000008</v>
      </c>
    </row>
    <row r="94" spans="2:8">
      <c r="B94" s="138">
        <f t="shared" si="9"/>
        <v>1.0300000000000007</v>
      </c>
      <c r="C94" s="142">
        <f t="shared" si="11"/>
        <v>0.6048</v>
      </c>
      <c r="D94" s="142">
        <f t="shared" si="11"/>
        <v>0.626</v>
      </c>
      <c r="E94" s="142">
        <f t="shared" si="11"/>
        <v>0.6472</v>
      </c>
      <c r="F94" s="142">
        <f t="shared" si="11"/>
        <v>0.66600000000000004</v>
      </c>
      <c r="G94" s="142">
        <f t="shared" si="11"/>
        <v>0.67720000000000002</v>
      </c>
      <c r="H94" s="142">
        <f t="shared" si="11"/>
        <v>0.68720000000000003</v>
      </c>
    </row>
    <row r="95" spans="2:8">
      <c r="B95" s="138">
        <f t="shared" si="9"/>
        <v>1.0400000000000007</v>
      </c>
      <c r="C95" s="142">
        <f t="shared" si="11"/>
        <v>0.60639999999999994</v>
      </c>
      <c r="D95" s="142">
        <f t="shared" si="11"/>
        <v>0.628</v>
      </c>
      <c r="E95" s="142">
        <f t="shared" si="11"/>
        <v>0.64959999999999996</v>
      </c>
      <c r="F95" s="142">
        <f t="shared" si="11"/>
        <v>0.66800000000000004</v>
      </c>
      <c r="G95" s="142">
        <f t="shared" si="11"/>
        <v>0.67959999999999998</v>
      </c>
      <c r="H95" s="142">
        <f t="shared" si="11"/>
        <v>0.68959999999999999</v>
      </c>
    </row>
    <row r="96" spans="2:8">
      <c r="B96" s="138">
        <f t="shared" si="9"/>
        <v>1.0500000000000007</v>
      </c>
      <c r="C96" s="142">
        <f t="shared" si="11"/>
        <v>0.60799999999999998</v>
      </c>
      <c r="D96" s="142">
        <f t="shared" si="11"/>
        <v>0.63</v>
      </c>
      <c r="E96" s="142">
        <f t="shared" si="11"/>
        <v>0.65200000000000002</v>
      </c>
      <c r="F96" s="142">
        <f t="shared" si="11"/>
        <v>0.67</v>
      </c>
      <c r="G96" s="142">
        <f t="shared" si="11"/>
        <v>0.68200000000000005</v>
      </c>
      <c r="H96" s="142">
        <f t="shared" si="11"/>
        <v>0.69200000000000006</v>
      </c>
    </row>
    <row r="97" spans="2:8">
      <c r="B97" s="138">
        <f t="shared" si="9"/>
        <v>1.0600000000000007</v>
      </c>
      <c r="C97" s="142">
        <f t="shared" si="11"/>
        <v>0.60960000000000003</v>
      </c>
      <c r="D97" s="142">
        <f t="shared" si="11"/>
        <v>0.63200000000000001</v>
      </c>
      <c r="E97" s="142">
        <f t="shared" si="11"/>
        <v>0.65439999999999998</v>
      </c>
      <c r="F97" s="142">
        <f t="shared" si="11"/>
        <v>0.67200000000000004</v>
      </c>
      <c r="G97" s="142">
        <f t="shared" si="11"/>
        <v>0.68440000000000001</v>
      </c>
      <c r="H97" s="142">
        <f t="shared" si="11"/>
        <v>0.69440000000000002</v>
      </c>
    </row>
    <row r="98" spans="2:8">
      <c r="B98" s="138">
        <f t="shared" si="9"/>
        <v>1.0700000000000007</v>
      </c>
      <c r="C98" s="142">
        <f t="shared" si="11"/>
        <v>0.61119999999999997</v>
      </c>
      <c r="D98" s="142">
        <f t="shared" si="11"/>
        <v>0.63400000000000001</v>
      </c>
      <c r="E98" s="142">
        <f t="shared" si="11"/>
        <v>0.65680000000000005</v>
      </c>
      <c r="F98" s="142">
        <f t="shared" si="11"/>
        <v>0.67400000000000004</v>
      </c>
      <c r="G98" s="142">
        <f t="shared" si="11"/>
        <v>0.68680000000000008</v>
      </c>
      <c r="H98" s="142">
        <f t="shared" si="11"/>
        <v>0.69680000000000009</v>
      </c>
    </row>
    <row r="99" spans="2:8">
      <c r="B99" s="138">
        <f t="shared" si="9"/>
        <v>1.0800000000000007</v>
      </c>
      <c r="C99" s="142">
        <f t="shared" si="11"/>
        <v>0.61280000000000001</v>
      </c>
      <c r="D99" s="142">
        <f t="shared" si="11"/>
        <v>0.63600000000000001</v>
      </c>
      <c r="E99" s="142">
        <f t="shared" si="11"/>
        <v>0.65920000000000001</v>
      </c>
      <c r="F99" s="142">
        <f t="shared" si="11"/>
        <v>0.67600000000000005</v>
      </c>
      <c r="G99" s="142">
        <f t="shared" si="11"/>
        <v>0.68920000000000003</v>
      </c>
      <c r="H99" s="142">
        <f t="shared" si="11"/>
        <v>0.69920000000000004</v>
      </c>
    </row>
    <row r="100" spans="2:8">
      <c r="B100" s="138">
        <f t="shared" si="9"/>
        <v>1.0900000000000007</v>
      </c>
      <c r="C100" s="142">
        <f t="shared" si="11"/>
        <v>0.61439999999999995</v>
      </c>
      <c r="D100" s="142">
        <f t="shared" si="11"/>
        <v>0.63800000000000001</v>
      </c>
      <c r="E100" s="142">
        <f t="shared" si="11"/>
        <v>0.66159999999999997</v>
      </c>
      <c r="F100" s="142">
        <f t="shared" si="11"/>
        <v>0.67800000000000005</v>
      </c>
      <c r="G100" s="142">
        <f t="shared" si="11"/>
        <v>0.69159999999999999</v>
      </c>
      <c r="H100" s="142">
        <f t="shared" si="11"/>
        <v>0.7016</v>
      </c>
    </row>
    <row r="101" spans="2:8">
      <c r="B101" s="138">
        <f t="shared" si="9"/>
        <v>1.1000000000000008</v>
      </c>
      <c r="C101" s="142">
        <f t="shared" si="11"/>
        <v>0.61599999999999999</v>
      </c>
      <c r="D101" s="142">
        <f t="shared" si="11"/>
        <v>0.64</v>
      </c>
      <c r="E101" s="142">
        <f t="shared" si="11"/>
        <v>0.66400000000000003</v>
      </c>
      <c r="F101" s="142">
        <f t="shared" si="11"/>
        <v>0.68</v>
      </c>
      <c r="G101" s="142">
        <f t="shared" si="11"/>
        <v>0.69400000000000006</v>
      </c>
      <c r="H101" s="142">
        <f t="shared" si="11"/>
        <v>0.70400000000000007</v>
      </c>
    </row>
    <row r="102" spans="2:8">
      <c r="B102" s="138">
        <f t="shared" si="9"/>
        <v>1.1100000000000008</v>
      </c>
      <c r="C102" s="142">
        <f t="shared" si="11"/>
        <v>0.61760000000000004</v>
      </c>
      <c r="D102" s="142">
        <f t="shared" si="11"/>
        <v>0.64200000000000002</v>
      </c>
      <c r="E102" s="142">
        <f t="shared" si="11"/>
        <v>0.66639999999999999</v>
      </c>
      <c r="F102" s="142">
        <f t="shared" si="11"/>
        <v>0.68200000000000005</v>
      </c>
      <c r="G102" s="142">
        <f t="shared" si="11"/>
        <v>0.69640000000000002</v>
      </c>
      <c r="H102" s="142">
        <f t="shared" si="11"/>
        <v>0.70640000000000003</v>
      </c>
    </row>
    <row r="103" spans="2:8">
      <c r="B103" s="138">
        <f t="shared" si="9"/>
        <v>1.1200000000000008</v>
      </c>
      <c r="C103" s="142">
        <f t="shared" si="11"/>
        <v>0.61919999999999997</v>
      </c>
      <c r="D103" s="142">
        <f t="shared" si="11"/>
        <v>0.64400000000000002</v>
      </c>
      <c r="E103" s="142">
        <f t="shared" si="11"/>
        <v>0.66879999999999995</v>
      </c>
      <c r="F103" s="142">
        <f t="shared" si="11"/>
        <v>0.68400000000000005</v>
      </c>
      <c r="G103" s="142">
        <f t="shared" si="11"/>
        <v>0.69879999999999998</v>
      </c>
      <c r="H103" s="142">
        <f t="shared" si="11"/>
        <v>0.70879999999999999</v>
      </c>
    </row>
    <row r="104" spans="2:8">
      <c r="B104" s="138">
        <f t="shared" si="9"/>
        <v>1.1300000000000008</v>
      </c>
      <c r="C104" s="142">
        <f t="shared" si="11"/>
        <v>0.62080000000000002</v>
      </c>
      <c r="D104" s="142">
        <f t="shared" si="11"/>
        <v>0.64600000000000002</v>
      </c>
      <c r="E104" s="142">
        <f t="shared" si="11"/>
        <v>0.67120000000000002</v>
      </c>
      <c r="F104" s="142">
        <f t="shared" si="11"/>
        <v>0.68599999999999994</v>
      </c>
      <c r="G104" s="142">
        <f t="shared" si="11"/>
        <v>0.70120000000000005</v>
      </c>
      <c r="H104" s="142">
        <f t="shared" si="11"/>
        <v>0.71120000000000005</v>
      </c>
    </row>
    <row r="105" spans="2:8">
      <c r="B105" s="138">
        <f t="shared" si="9"/>
        <v>1.1400000000000008</v>
      </c>
      <c r="C105" s="142">
        <f t="shared" si="11"/>
        <v>0.62239999999999995</v>
      </c>
      <c r="D105" s="142">
        <f t="shared" si="11"/>
        <v>0.64800000000000002</v>
      </c>
      <c r="E105" s="142">
        <f t="shared" si="11"/>
        <v>0.67359999999999998</v>
      </c>
      <c r="F105" s="142">
        <f t="shared" si="11"/>
        <v>0.68799999999999994</v>
      </c>
      <c r="G105" s="142">
        <f t="shared" si="11"/>
        <v>0.7036</v>
      </c>
      <c r="H105" s="142">
        <f t="shared" si="11"/>
        <v>0.71360000000000001</v>
      </c>
    </row>
    <row r="106" spans="2:8">
      <c r="B106" s="138">
        <f t="shared" si="9"/>
        <v>1.1500000000000008</v>
      </c>
      <c r="C106" s="142">
        <f t="shared" si="11"/>
        <v>0.624</v>
      </c>
      <c r="D106" s="142">
        <f t="shared" si="11"/>
        <v>0.65</v>
      </c>
      <c r="E106" s="142">
        <f t="shared" si="11"/>
        <v>0.67599999999999993</v>
      </c>
      <c r="F106" s="142">
        <f t="shared" si="11"/>
        <v>0.69</v>
      </c>
      <c r="G106" s="142">
        <f t="shared" si="11"/>
        <v>0.70599999999999996</v>
      </c>
      <c r="H106" s="142">
        <f t="shared" si="11"/>
        <v>0.71599999999999997</v>
      </c>
    </row>
    <row r="107" spans="2:8">
      <c r="B107" s="138">
        <f t="shared" si="9"/>
        <v>1.1600000000000008</v>
      </c>
      <c r="C107" s="142">
        <f t="shared" si="11"/>
        <v>0.62560000000000004</v>
      </c>
      <c r="D107" s="142">
        <f t="shared" si="11"/>
        <v>0.65200000000000002</v>
      </c>
      <c r="E107" s="142">
        <f t="shared" si="11"/>
        <v>0.6784</v>
      </c>
      <c r="F107" s="142">
        <f t="shared" si="11"/>
        <v>0.69199999999999995</v>
      </c>
      <c r="G107" s="142">
        <f t="shared" si="11"/>
        <v>0.70840000000000003</v>
      </c>
      <c r="H107" s="142">
        <f t="shared" si="11"/>
        <v>0.71840000000000004</v>
      </c>
    </row>
    <row r="108" spans="2:8">
      <c r="B108" s="138">
        <f t="shared" si="9"/>
        <v>1.1700000000000008</v>
      </c>
      <c r="C108" s="142">
        <f t="shared" si="11"/>
        <v>0.62719999999999998</v>
      </c>
      <c r="D108" s="142">
        <f t="shared" si="11"/>
        <v>0.65400000000000003</v>
      </c>
      <c r="E108" s="142">
        <f t="shared" si="11"/>
        <v>0.68079999999999996</v>
      </c>
      <c r="F108" s="142">
        <f t="shared" si="11"/>
        <v>0.69399999999999995</v>
      </c>
      <c r="G108" s="142">
        <f t="shared" si="11"/>
        <v>0.71079999999999999</v>
      </c>
      <c r="H108" s="142">
        <f t="shared" si="11"/>
        <v>0.7208</v>
      </c>
    </row>
    <row r="109" spans="2:8">
      <c r="B109" s="138">
        <f t="shared" si="9"/>
        <v>1.1800000000000008</v>
      </c>
      <c r="C109" s="142">
        <f t="shared" si="11"/>
        <v>0.62880000000000003</v>
      </c>
      <c r="D109" s="142">
        <f t="shared" si="11"/>
        <v>0.65600000000000003</v>
      </c>
      <c r="E109" s="142">
        <f t="shared" si="11"/>
        <v>0.68319999999999992</v>
      </c>
      <c r="F109" s="142">
        <f t="shared" si="11"/>
        <v>0.69599999999999995</v>
      </c>
      <c r="G109" s="142">
        <f t="shared" si="11"/>
        <v>0.71319999999999995</v>
      </c>
      <c r="H109" s="142">
        <f t="shared" si="11"/>
        <v>0.72319999999999995</v>
      </c>
    </row>
    <row r="110" spans="2:8">
      <c r="B110" s="138">
        <f t="shared" si="9"/>
        <v>1.1900000000000008</v>
      </c>
      <c r="C110" s="142">
        <f t="shared" si="11"/>
        <v>0.63039999999999996</v>
      </c>
      <c r="D110" s="142">
        <f t="shared" si="11"/>
        <v>0.65800000000000003</v>
      </c>
      <c r="E110" s="142">
        <f t="shared" si="11"/>
        <v>0.68559999999999999</v>
      </c>
      <c r="F110" s="142">
        <f t="shared" si="11"/>
        <v>0.69799999999999995</v>
      </c>
      <c r="G110" s="142">
        <f t="shared" si="11"/>
        <v>0.71560000000000001</v>
      </c>
      <c r="H110" s="142">
        <f t="shared" si="11"/>
        <v>0.72560000000000002</v>
      </c>
    </row>
    <row r="111" spans="2:8">
      <c r="B111" s="138">
        <f t="shared" si="9"/>
        <v>1.2000000000000008</v>
      </c>
      <c r="C111" s="142">
        <f t="shared" si="11"/>
        <v>0.63200000000000001</v>
      </c>
      <c r="D111" s="142">
        <f t="shared" si="11"/>
        <v>0.66</v>
      </c>
      <c r="E111" s="142">
        <f t="shared" si="11"/>
        <v>0.68799999999999994</v>
      </c>
      <c r="F111" s="142">
        <f t="shared" si="11"/>
        <v>0.7</v>
      </c>
      <c r="G111" s="142">
        <f t="shared" si="11"/>
        <v>0.71799999999999997</v>
      </c>
      <c r="H111" s="142">
        <f t="shared" si="11"/>
        <v>0.72799999999999998</v>
      </c>
    </row>
    <row r="112" spans="2:8">
      <c r="B112" s="138">
        <f t="shared" si="9"/>
        <v>1.2100000000000009</v>
      </c>
      <c r="C112" s="142">
        <f t="shared" si="11"/>
        <v>0.63360000000000005</v>
      </c>
      <c r="D112" s="142">
        <f t="shared" si="11"/>
        <v>0.66200000000000003</v>
      </c>
      <c r="E112" s="142">
        <f t="shared" si="11"/>
        <v>0.69040000000000001</v>
      </c>
      <c r="F112" s="142">
        <f t="shared" si="11"/>
        <v>0.70199999999999996</v>
      </c>
      <c r="G112" s="142">
        <f t="shared" si="11"/>
        <v>0.72040000000000004</v>
      </c>
      <c r="H112" s="142">
        <f t="shared" si="11"/>
        <v>0.73040000000000005</v>
      </c>
    </row>
    <row r="113" spans="2:8">
      <c r="B113" s="138">
        <f t="shared" si="9"/>
        <v>1.2200000000000009</v>
      </c>
      <c r="C113" s="142">
        <f t="shared" si="11"/>
        <v>0.63519999999999999</v>
      </c>
      <c r="D113" s="142">
        <f t="shared" si="11"/>
        <v>0.66400000000000003</v>
      </c>
      <c r="E113" s="142">
        <f t="shared" si="11"/>
        <v>0.69279999999999997</v>
      </c>
      <c r="F113" s="142">
        <f t="shared" si="11"/>
        <v>0.70399999999999996</v>
      </c>
      <c r="G113" s="142">
        <f t="shared" si="11"/>
        <v>0.7228</v>
      </c>
      <c r="H113" s="142">
        <f t="shared" si="11"/>
        <v>0.73280000000000001</v>
      </c>
    </row>
    <row r="114" spans="2:8">
      <c r="B114" s="138">
        <f t="shared" si="9"/>
        <v>1.2300000000000009</v>
      </c>
      <c r="C114" s="142">
        <f t="shared" si="11"/>
        <v>0.63680000000000003</v>
      </c>
      <c r="D114" s="142">
        <f t="shared" si="11"/>
        <v>0.66600000000000004</v>
      </c>
      <c r="E114" s="142">
        <f t="shared" si="11"/>
        <v>0.69519999999999993</v>
      </c>
      <c r="F114" s="142">
        <f t="shared" si="11"/>
        <v>0.70599999999999996</v>
      </c>
      <c r="G114" s="142">
        <f t="shared" si="11"/>
        <v>0.72519999999999996</v>
      </c>
      <c r="H114" s="142">
        <f t="shared" si="11"/>
        <v>0.73519999999999996</v>
      </c>
    </row>
    <row r="115" spans="2:8">
      <c r="B115" s="138">
        <f t="shared" si="9"/>
        <v>1.2400000000000009</v>
      </c>
      <c r="C115" s="142">
        <f t="shared" si="11"/>
        <v>0.63839999999999997</v>
      </c>
      <c r="D115" s="142">
        <f t="shared" si="11"/>
        <v>0.66800000000000004</v>
      </c>
      <c r="E115" s="142">
        <f t="shared" si="11"/>
        <v>0.6976</v>
      </c>
      <c r="F115" s="142">
        <f t="shared" si="11"/>
        <v>0.70799999999999996</v>
      </c>
      <c r="G115" s="142">
        <f t="shared" si="11"/>
        <v>0.72760000000000002</v>
      </c>
      <c r="H115" s="142">
        <f t="shared" si="11"/>
        <v>0.73760000000000003</v>
      </c>
    </row>
    <row r="116" spans="2:8">
      <c r="B116" s="134">
        <f t="shared" si="9"/>
        <v>1.2500000000000009</v>
      </c>
      <c r="C116" s="141">
        <v>0.64</v>
      </c>
      <c r="D116" s="141">
        <v>0.67</v>
      </c>
      <c r="E116" s="141">
        <v>0.7</v>
      </c>
      <c r="F116" s="141">
        <v>0.71</v>
      </c>
      <c r="G116" s="141">
        <v>0.73</v>
      </c>
      <c r="H116" s="141">
        <v>0.74</v>
      </c>
    </row>
    <row r="117" spans="2:8">
      <c r="B117" s="138">
        <f t="shared" si="9"/>
        <v>1.2600000000000009</v>
      </c>
      <c r="C117" s="142">
        <f t="shared" ref="C117:H117" si="12">C$116+(C$141-C$116)*($B117-$B$116)/($B$141-$B$116)</f>
        <v>0.64160000000000006</v>
      </c>
      <c r="D117" s="142">
        <f t="shared" si="12"/>
        <v>0.67200000000000004</v>
      </c>
      <c r="E117" s="142">
        <f t="shared" si="12"/>
        <v>0.7016</v>
      </c>
      <c r="F117" s="142">
        <f t="shared" si="12"/>
        <v>0.71199999999999997</v>
      </c>
      <c r="G117" s="142">
        <f t="shared" si="12"/>
        <v>0.73199999999999998</v>
      </c>
      <c r="H117" s="142">
        <f t="shared" si="12"/>
        <v>0.74199999999999999</v>
      </c>
    </row>
    <row r="118" spans="2:8">
      <c r="B118" s="138">
        <f t="shared" si="9"/>
        <v>1.2700000000000009</v>
      </c>
      <c r="C118" s="142">
        <f t="shared" ref="C118:H140" si="13">C$116+(C$141-C$116)*($B118-$B$116)/($B$141-$B$116)</f>
        <v>0.64319999999999999</v>
      </c>
      <c r="D118" s="142">
        <f t="shared" si="13"/>
        <v>0.67400000000000004</v>
      </c>
      <c r="E118" s="142">
        <f t="shared" si="13"/>
        <v>0.70319999999999994</v>
      </c>
      <c r="F118" s="142">
        <f t="shared" si="13"/>
        <v>0.71399999999999997</v>
      </c>
      <c r="G118" s="142">
        <f t="shared" si="13"/>
        <v>0.73399999999999999</v>
      </c>
      <c r="H118" s="142">
        <f t="shared" si="13"/>
        <v>0.74399999999999999</v>
      </c>
    </row>
    <row r="119" spans="2:8">
      <c r="B119" s="138">
        <f t="shared" si="9"/>
        <v>1.2800000000000009</v>
      </c>
      <c r="C119" s="142">
        <f t="shared" si="13"/>
        <v>0.64480000000000004</v>
      </c>
      <c r="D119" s="142">
        <f t="shared" si="13"/>
        <v>0.67600000000000005</v>
      </c>
      <c r="E119" s="142">
        <f t="shared" si="13"/>
        <v>0.70479999999999998</v>
      </c>
      <c r="F119" s="142">
        <f t="shared" si="13"/>
        <v>0.71599999999999997</v>
      </c>
      <c r="G119" s="142">
        <f t="shared" si="13"/>
        <v>0.73599999999999999</v>
      </c>
      <c r="H119" s="142">
        <f t="shared" si="13"/>
        <v>0.746</v>
      </c>
    </row>
    <row r="120" spans="2:8">
      <c r="B120" s="138">
        <f t="shared" si="9"/>
        <v>1.2900000000000009</v>
      </c>
      <c r="C120" s="142">
        <f t="shared" si="13"/>
        <v>0.64639999999999997</v>
      </c>
      <c r="D120" s="142">
        <f t="shared" si="13"/>
        <v>0.67800000000000005</v>
      </c>
      <c r="E120" s="142">
        <f t="shared" si="13"/>
        <v>0.70639999999999992</v>
      </c>
      <c r="F120" s="142">
        <f t="shared" si="13"/>
        <v>0.71799999999999997</v>
      </c>
      <c r="G120" s="142">
        <f t="shared" si="13"/>
        <v>0.73799999999999999</v>
      </c>
      <c r="H120" s="142">
        <f t="shared" si="13"/>
        <v>0.748</v>
      </c>
    </row>
    <row r="121" spans="2:8">
      <c r="B121" s="138">
        <f t="shared" si="9"/>
        <v>1.3000000000000009</v>
      </c>
      <c r="C121" s="142">
        <f t="shared" si="13"/>
        <v>0.64800000000000002</v>
      </c>
      <c r="D121" s="142">
        <f t="shared" si="13"/>
        <v>0.68</v>
      </c>
      <c r="E121" s="142">
        <f t="shared" si="13"/>
        <v>0.70799999999999996</v>
      </c>
      <c r="F121" s="142">
        <f t="shared" si="13"/>
        <v>0.72</v>
      </c>
      <c r="G121" s="142">
        <f t="shared" si="13"/>
        <v>0.74</v>
      </c>
      <c r="H121" s="142">
        <f t="shared" si="13"/>
        <v>0.75</v>
      </c>
    </row>
    <row r="122" spans="2:8">
      <c r="B122" s="138">
        <f t="shared" si="9"/>
        <v>1.3100000000000009</v>
      </c>
      <c r="C122" s="142">
        <f t="shared" si="13"/>
        <v>0.64960000000000007</v>
      </c>
      <c r="D122" s="142">
        <f t="shared" si="13"/>
        <v>0.68200000000000005</v>
      </c>
      <c r="E122" s="142">
        <f t="shared" si="13"/>
        <v>0.70960000000000001</v>
      </c>
      <c r="F122" s="142">
        <f t="shared" si="13"/>
        <v>0.72199999999999998</v>
      </c>
      <c r="G122" s="142">
        <f t="shared" si="13"/>
        <v>0.74199999999999999</v>
      </c>
      <c r="H122" s="142">
        <f t="shared" si="13"/>
        <v>0.752</v>
      </c>
    </row>
    <row r="123" spans="2:8">
      <c r="B123" s="138">
        <f t="shared" si="9"/>
        <v>1.320000000000001</v>
      </c>
      <c r="C123" s="142">
        <f t="shared" si="13"/>
        <v>0.6512</v>
      </c>
      <c r="D123" s="142">
        <f t="shared" si="13"/>
        <v>0.68400000000000005</v>
      </c>
      <c r="E123" s="142">
        <f t="shared" si="13"/>
        <v>0.71119999999999994</v>
      </c>
      <c r="F123" s="142">
        <f t="shared" si="13"/>
        <v>0.72399999999999998</v>
      </c>
      <c r="G123" s="142">
        <f t="shared" si="13"/>
        <v>0.74399999999999999</v>
      </c>
      <c r="H123" s="142">
        <f t="shared" si="13"/>
        <v>0.754</v>
      </c>
    </row>
    <row r="124" spans="2:8">
      <c r="B124" s="138">
        <f t="shared" si="9"/>
        <v>1.330000000000001</v>
      </c>
      <c r="C124" s="142">
        <f t="shared" si="13"/>
        <v>0.65280000000000005</v>
      </c>
      <c r="D124" s="142">
        <f t="shared" si="13"/>
        <v>0.68600000000000005</v>
      </c>
      <c r="E124" s="142">
        <f t="shared" si="13"/>
        <v>0.71279999999999999</v>
      </c>
      <c r="F124" s="142">
        <f t="shared" si="13"/>
        <v>0.72599999999999998</v>
      </c>
      <c r="G124" s="142">
        <f t="shared" si="13"/>
        <v>0.746</v>
      </c>
      <c r="H124" s="142">
        <f t="shared" si="13"/>
        <v>0.75600000000000001</v>
      </c>
    </row>
    <row r="125" spans="2:8">
      <c r="B125" s="138">
        <f t="shared" si="9"/>
        <v>1.340000000000001</v>
      </c>
      <c r="C125" s="142">
        <f t="shared" si="13"/>
        <v>0.65439999999999998</v>
      </c>
      <c r="D125" s="142">
        <f t="shared" si="13"/>
        <v>0.68800000000000006</v>
      </c>
      <c r="E125" s="142">
        <f t="shared" si="13"/>
        <v>0.71439999999999992</v>
      </c>
      <c r="F125" s="142">
        <f t="shared" si="13"/>
        <v>0.72799999999999998</v>
      </c>
      <c r="G125" s="142">
        <f t="shared" si="13"/>
        <v>0.748</v>
      </c>
      <c r="H125" s="142">
        <f t="shared" si="13"/>
        <v>0.75800000000000001</v>
      </c>
    </row>
    <row r="126" spans="2:8">
      <c r="B126" s="138">
        <f t="shared" si="9"/>
        <v>1.350000000000001</v>
      </c>
      <c r="C126" s="142">
        <f t="shared" si="13"/>
        <v>0.65600000000000003</v>
      </c>
      <c r="D126" s="142">
        <f t="shared" si="13"/>
        <v>0.69000000000000006</v>
      </c>
      <c r="E126" s="142">
        <f t="shared" si="13"/>
        <v>0.71599999999999997</v>
      </c>
      <c r="F126" s="142">
        <f t="shared" si="13"/>
        <v>0.73</v>
      </c>
      <c r="G126" s="142">
        <f t="shared" si="13"/>
        <v>0.75</v>
      </c>
      <c r="H126" s="142">
        <f t="shared" si="13"/>
        <v>0.76</v>
      </c>
    </row>
    <row r="127" spans="2:8">
      <c r="B127" s="138">
        <f t="shared" si="9"/>
        <v>1.360000000000001</v>
      </c>
      <c r="C127" s="142">
        <f t="shared" si="13"/>
        <v>0.65760000000000007</v>
      </c>
      <c r="D127" s="142">
        <f t="shared" si="13"/>
        <v>0.69200000000000006</v>
      </c>
      <c r="E127" s="142">
        <f t="shared" si="13"/>
        <v>0.71760000000000002</v>
      </c>
      <c r="F127" s="142">
        <f t="shared" si="13"/>
        <v>0.73199999999999998</v>
      </c>
      <c r="G127" s="142">
        <f t="shared" si="13"/>
        <v>0.752</v>
      </c>
      <c r="H127" s="142">
        <f t="shared" si="13"/>
        <v>0.76200000000000001</v>
      </c>
    </row>
    <row r="128" spans="2:8">
      <c r="B128" s="138">
        <f t="shared" si="9"/>
        <v>1.370000000000001</v>
      </c>
      <c r="C128" s="142">
        <f t="shared" si="13"/>
        <v>0.65920000000000001</v>
      </c>
      <c r="D128" s="142">
        <f t="shared" si="13"/>
        <v>0.69400000000000006</v>
      </c>
      <c r="E128" s="142">
        <f t="shared" si="13"/>
        <v>0.71919999999999995</v>
      </c>
      <c r="F128" s="142">
        <f t="shared" si="13"/>
        <v>0.73399999999999999</v>
      </c>
      <c r="G128" s="142">
        <f t="shared" si="13"/>
        <v>0.754</v>
      </c>
      <c r="H128" s="142">
        <f t="shared" si="13"/>
        <v>0.76400000000000001</v>
      </c>
    </row>
    <row r="129" spans="2:8">
      <c r="B129" s="138">
        <f t="shared" si="9"/>
        <v>1.380000000000001</v>
      </c>
      <c r="C129" s="142">
        <f t="shared" si="13"/>
        <v>0.66080000000000005</v>
      </c>
      <c r="D129" s="142">
        <f t="shared" si="13"/>
        <v>0.69599999999999995</v>
      </c>
      <c r="E129" s="142">
        <f t="shared" si="13"/>
        <v>0.7208</v>
      </c>
      <c r="F129" s="142">
        <f t="shared" si="13"/>
        <v>0.73599999999999999</v>
      </c>
      <c r="G129" s="142">
        <f t="shared" si="13"/>
        <v>0.75600000000000001</v>
      </c>
      <c r="H129" s="142">
        <f t="shared" si="13"/>
        <v>0.76600000000000001</v>
      </c>
    </row>
    <row r="130" spans="2:8">
      <c r="B130" s="138">
        <f t="shared" si="9"/>
        <v>1.390000000000001</v>
      </c>
      <c r="C130" s="142">
        <f t="shared" si="13"/>
        <v>0.66239999999999999</v>
      </c>
      <c r="D130" s="142">
        <f t="shared" si="13"/>
        <v>0.69799999999999995</v>
      </c>
      <c r="E130" s="142">
        <f t="shared" si="13"/>
        <v>0.72239999999999993</v>
      </c>
      <c r="F130" s="142">
        <f t="shared" si="13"/>
        <v>0.73799999999999999</v>
      </c>
      <c r="G130" s="142">
        <f t="shared" si="13"/>
        <v>0.75800000000000001</v>
      </c>
      <c r="H130" s="142">
        <f t="shared" si="13"/>
        <v>0.76800000000000002</v>
      </c>
    </row>
    <row r="131" spans="2:8">
      <c r="B131" s="138">
        <f t="shared" si="9"/>
        <v>1.400000000000001</v>
      </c>
      <c r="C131" s="142">
        <f t="shared" si="13"/>
        <v>0.66400000000000003</v>
      </c>
      <c r="D131" s="142">
        <f t="shared" si="13"/>
        <v>0.7</v>
      </c>
      <c r="E131" s="142">
        <f t="shared" si="13"/>
        <v>0.72399999999999998</v>
      </c>
      <c r="F131" s="142">
        <f t="shared" si="13"/>
        <v>0.74</v>
      </c>
      <c r="G131" s="142">
        <f t="shared" si="13"/>
        <v>0.76</v>
      </c>
      <c r="H131" s="142">
        <f t="shared" si="13"/>
        <v>0.77</v>
      </c>
    </row>
    <row r="132" spans="2:8">
      <c r="B132" s="138">
        <f t="shared" si="9"/>
        <v>1.410000000000001</v>
      </c>
      <c r="C132" s="142">
        <f t="shared" si="13"/>
        <v>0.66560000000000008</v>
      </c>
      <c r="D132" s="142">
        <f t="shared" si="13"/>
        <v>0.70199999999999996</v>
      </c>
      <c r="E132" s="142">
        <f t="shared" si="13"/>
        <v>0.72560000000000002</v>
      </c>
      <c r="F132" s="142">
        <f t="shared" si="13"/>
        <v>0.74199999999999999</v>
      </c>
      <c r="G132" s="142">
        <f t="shared" si="13"/>
        <v>0.76200000000000001</v>
      </c>
      <c r="H132" s="142">
        <f t="shared" si="13"/>
        <v>0.77200000000000002</v>
      </c>
    </row>
    <row r="133" spans="2:8">
      <c r="B133" s="138">
        <f t="shared" si="9"/>
        <v>1.420000000000001</v>
      </c>
      <c r="C133" s="142">
        <f t="shared" si="13"/>
        <v>0.66720000000000002</v>
      </c>
      <c r="D133" s="142">
        <f t="shared" si="13"/>
        <v>0.70399999999999996</v>
      </c>
      <c r="E133" s="142">
        <f t="shared" si="13"/>
        <v>0.72719999999999996</v>
      </c>
      <c r="F133" s="142">
        <f t="shared" si="13"/>
        <v>0.74399999999999999</v>
      </c>
      <c r="G133" s="142">
        <f t="shared" si="13"/>
        <v>0.76400000000000001</v>
      </c>
      <c r="H133" s="142">
        <f t="shared" si="13"/>
        <v>0.77400000000000002</v>
      </c>
    </row>
    <row r="134" spans="2:8">
      <c r="B134" s="138">
        <f t="shared" si="9"/>
        <v>1.430000000000001</v>
      </c>
      <c r="C134" s="142">
        <f t="shared" si="13"/>
        <v>0.66880000000000006</v>
      </c>
      <c r="D134" s="142">
        <f t="shared" si="13"/>
        <v>0.70599999999999996</v>
      </c>
      <c r="E134" s="142">
        <f t="shared" si="13"/>
        <v>0.7288</v>
      </c>
      <c r="F134" s="142">
        <f t="shared" si="13"/>
        <v>0.746</v>
      </c>
      <c r="G134" s="142">
        <f t="shared" si="13"/>
        <v>0.76600000000000001</v>
      </c>
      <c r="H134" s="142">
        <f t="shared" si="13"/>
        <v>0.77600000000000002</v>
      </c>
    </row>
    <row r="135" spans="2:8">
      <c r="B135" s="138">
        <f t="shared" ref="B135:B198" si="14">B134+0.01</f>
        <v>1.4400000000000011</v>
      </c>
      <c r="C135" s="142">
        <f t="shared" si="13"/>
        <v>0.6704</v>
      </c>
      <c r="D135" s="142">
        <f t="shared" si="13"/>
        <v>0.70799999999999996</v>
      </c>
      <c r="E135" s="142">
        <f t="shared" si="13"/>
        <v>0.73039999999999994</v>
      </c>
      <c r="F135" s="142">
        <f t="shared" si="13"/>
        <v>0.748</v>
      </c>
      <c r="G135" s="142">
        <f t="shared" si="13"/>
        <v>0.76800000000000002</v>
      </c>
      <c r="H135" s="142">
        <f t="shared" si="13"/>
        <v>0.77800000000000002</v>
      </c>
    </row>
    <row r="136" spans="2:8">
      <c r="B136" s="138">
        <f t="shared" si="14"/>
        <v>1.4500000000000011</v>
      </c>
      <c r="C136" s="142">
        <f t="shared" si="13"/>
        <v>0.67200000000000004</v>
      </c>
      <c r="D136" s="142">
        <f t="shared" si="13"/>
        <v>0.71</v>
      </c>
      <c r="E136" s="142">
        <f t="shared" si="13"/>
        <v>0.73199999999999998</v>
      </c>
      <c r="F136" s="142">
        <f t="shared" si="13"/>
        <v>0.75</v>
      </c>
      <c r="G136" s="142">
        <f t="shared" si="13"/>
        <v>0.77</v>
      </c>
      <c r="H136" s="142">
        <f t="shared" si="13"/>
        <v>0.78</v>
      </c>
    </row>
    <row r="137" spans="2:8">
      <c r="B137" s="138">
        <f t="shared" si="14"/>
        <v>1.4600000000000011</v>
      </c>
      <c r="C137" s="142">
        <f t="shared" si="13"/>
        <v>0.67360000000000009</v>
      </c>
      <c r="D137" s="142">
        <f t="shared" si="13"/>
        <v>0.71199999999999997</v>
      </c>
      <c r="E137" s="142">
        <f t="shared" si="13"/>
        <v>0.73360000000000003</v>
      </c>
      <c r="F137" s="142">
        <f t="shared" si="13"/>
        <v>0.752</v>
      </c>
      <c r="G137" s="142">
        <f t="shared" si="13"/>
        <v>0.77200000000000002</v>
      </c>
      <c r="H137" s="142">
        <f t="shared" si="13"/>
        <v>0.78200000000000003</v>
      </c>
    </row>
    <row r="138" spans="2:8">
      <c r="B138" s="138">
        <f t="shared" si="14"/>
        <v>1.4700000000000011</v>
      </c>
      <c r="C138" s="142">
        <f t="shared" si="13"/>
        <v>0.67520000000000002</v>
      </c>
      <c r="D138" s="142">
        <f t="shared" si="13"/>
        <v>0.71399999999999997</v>
      </c>
      <c r="E138" s="142">
        <f t="shared" si="13"/>
        <v>0.73519999999999996</v>
      </c>
      <c r="F138" s="142">
        <f t="shared" si="13"/>
        <v>0.754</v>
      </c>
      <c r="G138" s="142">
        <f t="shared" si="13"/>
        <v>0.77400000000000002</v>
      </c>
      <c r="H138" s="142">
        <f t="shared" si="13"/>
        <v>0.78400000000000003</v>
      </c>
    </row>
    <row r="139" spans="2:8">
      <c r="B139" s="138">
        <f t="shared" si="14"/>
        <v>1.4800000000000011</v>
      </c>
      <c r="C139" s="142">
        <f t="shared" si="13"/>
        <v>0.67680000000000007</v>
      </c>
      <c r="D139" s="142">
        <f t="shared" si="13"/>
        <v>0.71599999999999997</v>
      </c>
      <c r="E139" s="142">
        <f t="shared" si="13"/>
        <v>0.73680000000000001</v>
      </c>
      <c r="F139" s="142">
        <f t="shared" si="13"/>
        <v>0.75600000000000001</v>
      </c>
      <c r="G139" s="142">
        <f t="shared" si="13"/>
        <v>0.77600000000000002</v>
      </c>
      <c r="H139" s="142">
        <f t="shared" si="13"/>
        <v>0.78600000000000003</v>
      </c>
    </row>
    <row r="140" spans="2:8">
      <c r="B140" s="138">
        <f t="shared" si="14"/>
        <v>1.4900000000000011</v>
      </c>
      <c r="C140" s="142">
        <f t="shared" si="13"/>
        <v>0.6784</v>
      </c>
      <c r="D140" s="142">
        <f t="shared" si="13"/>
        <v>0.71799999999999997</v>
      </c>
      <c r="E140" s="142">
        <f t="shared" si="13"/>
        <v>0.73839999999999995</v>
      </c>
      <c r="F140" s="142">
        <f t="shared" si="13"/>
        <v>0.75800000000000001</v>
      </c>
      <c r="G140" s="142">
        <f t="shared" si="13"/>
        <v>0.77800000000000002</v>
      </c>
      <c r="H140" s="142">
        <f t="shared" si="13"/>
        <v>0.78800000000000003</v>
      </c>
    </row>
    <row r="141" spans="2:8">
      <c r="B141" s="134">
        <f t="shared" si="14"/>
        <v>1.5000000000000011</v>
      </c>
      <c r="C141" s="141">
        <v>0.68</v>
      </c>
      <c r="D141" s="141">
        <v>0.72</v>
      </c>
      <c r="E141" s="141">
        <v>0.74</v>
      </c>
      <c r="F141" s="141">
        <v>0.76</v>
      </c>
      <c r="G141" s="141">
        <v>0.78</v>
      </c>
      <c r="H141" s="141">
        <v>0.79</v>
      </c>
    </row>
    <row r="142" spans="2:8">
      <c r="B142" s="138">
        <f t="shared" si="14"/>
        <v>1.5100000000000011</v>
      </c>
      <c r="C142" s="139">
        <f t="shared" ref="C142:H142" si="15">C$141+(C$166-C$141)*($B142-$B$141)/($B$166-$B$141)</f>
        <v>0.68120000000000003</v>
      </c>
      <c r="D142" s="139">
        <f t="shared" si="15"/>
        <v>0.72119999999999995</v>
      </c>
      <c r="E142" s="139">
        <f t="shared" si="15"/>
        <v>0.74160000000000004</v>
      </c>
      <c r="F142" s="139">
        <f t="shared" si="15"/>
        <v>0.76160000000000005</v>
      </c>
      <c r="G142" s="139">
        <f t="shared" si="15"/>
        <v>0.78160000000000007</v>
      </c>
      <c r="H142" s="139">
        <f t="shared" si="15"/>
        <v>0.79200000000000004</v>
      </c>
    </row>
    <row r="143" spans="2:8">
      <c r="B143" s="138">
        <f t="shared" si="14"/>
        <v>1.5200000000000011</v>
      </c>
      <c r="C143" s="139">
        <f t="shared" ref="C143:H165" si="16">C$141+(C$166-C$141)*($B143-$B$141)/($B$166-$B$141)</f>
        <v>0.68240000000000001</v>
      </c>
      <c r="D143" s="139">
        <f t="shared" si="16"/>
        <v>0.72239999999999993</v>
      </c>
      <c r="E143" s="139">
        <f t="shared" si="16"/>
        <v>0.74319999999999997</v>
      </c>
      <c r="F143" s="139">
        <f t="shared" si="16"/>
        <v>0.76319999999999999</v>
      </c>
      <c r="G143" s="139">
        <f t="shared" si="16"/>
        <v>0.78320000000000001</v>
      </c>
      <c r="H143" s="139">
        <f t="shared" si="16"/>
        <v>0.79400000000000004</v>
      </c>
    </row>
    <row r="144" spans="2:8">
      <c r="B144" s="138">
        <f t="shared" si="14"/>
        <v>1.5300000000000011</v>
      </c>
      <c r="C144" s="139">
        <f t="shared" si="16"/>
        <v>0.68359999999999999</v>
      </c>
      <c r="D144" s="139">
        <f t="shared" si="16"/>
        <v>0.72360000000000002</v>
      </c>
      <c r="E144" s="139">
        <f t="shared" si="16"/>
        <v>0.74480000000000002</v>
      </c>
      <c r="F144" s="139">
        <f t="shared" si="16"/>
        <v>0.76480000000000004</v>
      </c>
      <c r="G144" s="139">
        <f t="shared" si="16"/>
        <v>0.78480000000000005</v>
      </c>
      <c r="H144" s="139">
        <f t="shared" si="16"/>
        <v>0.79600000000000004</v>
      </c>
    </row>
    <row r="145" spans="2:8">
      <c r="B145" s="138">
        <f t="shared" si="14"/>
        <v>1.5400000000000011</v>
      </c>
      <c r="C145" s="139">
        <f t="shared" si="16"/>
        <v>0.68480000000000008</v>
      </c>
      <c r="D145" s="139">
        <f t="shared" si="16"/>
        <v>0.7248</v>
      </c>
      <c r="E145" s="139">
        <f t="shared" si="16"/>
        <v>0.74639999999999995</v>
      </c>
      <c r="F145" s="139">
        <f t="shared" si="16"/>
        <v>0.76639999999999997</v>
      </c>
      <c r="G145" s="139">
        <f t="shared" si="16"/>
        <v>0.78639999999999999</v>
      </c>
      <c r="H145" s="139">
        <f t="shared" si="16"/>
        <v>0.79800000000000004</v>
      </c>
    </row>
    <row r="146" spans="2:8">
      <c r="B146" s="138">
        <f t="shared" si="14"/>
        <v>1.5500000000000012</v>
      </c>
      <c r="C146" s="139">
        <f t="shared" si="16"/>
        <v>0.68600000000000005</v>
      </c>
      <c r="D146" s="139">
        <f t="shared" si="16"/>
        <v>0.72599999999999998</v>
      </c>
      <c r="E146" s="139">
        <f t="shared" si="16"/>
        <v>0.748</v>
      </c>
      <c r="F146" s="139">
        <f t="shared" si="16"/>
        <v>0.76800000000000002</v>
      </c>
      <c r="G146" s="139">
        <f t="shared" si="16"/>
        <v>0.78800000000000003</v>
      </c>
      <c r="H146" s="139">
        <f t="shared" si="16"/>
        <v>0.8</v>
      </c>
    </row>
    <row r="147" spans="2:8">
      <c r="B147" s="138">
        <f t="shared" si="14"/>
        <v>1.5600000000000012</v>
      </c>
      <c r="C147" s="139">
        <f t="shared" si="16"/>
        <v>0.68720000000000003</v>
      </c>
      <c r="D147" s="139">
        <f t="shared" si="16"/>
        <v>0.72719999999999996</v>
      </c>
      <c r="E147" s="139">
        <f t="shared" si="16"/>
        <v>0.74960000000000004</v>
      </c>
      <c r="F147" s="139">
        <f t="shared" si="16"/>
        <v>0.76960000000000006</v>
      </c>
      <c r="G147" s="139">
        <f t="shared" si="16"/>
        <v>0.78959999999999997</v>
      </c>
      <c r="H147" s="139">
        <f t="shared" si="16"/>
        <v>0.80200000000000005</v>
      </c>
    </row>
    <row r="148" spans="2:8">
      <c r="B148" s="138">
        <f t="shared" si="14"/>
        <v>1.5700000000000012</v>
      </c>
      <c r="C148" s="139">
        <f t="shared" si="16"/>
        <v>0.68840000000000001</v>
      </c>
      <c r="D148" s="139">
        <f t="shared" si="16"/>
        <v>0.72839999999999994</v>
      </c>
      <c r="E148" s="139">
        <f t="shared" si="16"/>
        <v>0.75119999999999998</v>
      </c>
      <c r="F148" s="139">
        <f t="shared" si="16"/>
        <v>0.7712</v>
      </c>
      <c r="G148" s="139">
        <f t="shared" si="16"/>
        <v>0.79120000000000001</v>
      </c>
      <c r="H148" s="139">
        <f t="shared" si="16"/>
        <v>0.80400000000000005</v>
      </c>
    </row>
    <row r="149" spans="2:8">
      <c r="B149" s="138">
        <f t="shared" si="14"/>
        <v>1.5800000000000012</v>
      </c>
      <c r="C149" s="139">
        <f t="shared" si="16"/>
        <v>0.68959999999999999</v>
      </c>
      <c r="D149" s="139">
        <f t="shared" si="16"/>
        <v>0.72960000000000003</v>
      </c>
      <c r="E149" s="139">
        <f t="shared" si="16"/>
        <v>0.75280000000000002</v>
      </c>
      <c r="F149" s="139">
        <f t="shared" si="16"/>
        <v>0.77280000000000004</v>
      </c>
      <c r="G149" s="139">
        <f t="shared" si="16"/>
        <v>0.79279999999999995</v>
      </c>
      <c r="H149" s="139">
        <f t="shared" si="16"/>
        <v>0.80600000000000005</v>
      </c>
    </row>
    <row r="150" spans="2:8">
      <c r="B150" s="138">
        <f t="shared" si="14"/>
        <v>1.5900000000000012</v>
      </c>
      <c r="C150" s="139">
        <f t="shared" si="16"/>
        <v>0.69079999999999997</v>
      </c>
      <c r="D150" s="139">
        <f t="shared" si="16"/>
        <v>0.73080000000000001</v>
      </c>
      <c r="E150" s="139">
        <f t="shared" si="16"/>
        <v>0.75439999999999996</v>
      </c>
      <c r="F150" s="139">
        <f t="shared" si="16"/>
        <v>0.77439999999999998</v>
      </c>
      <c r="G150" s="139">
        <f t="shared" si="16"/>
        <v>0.7944</v>
      </c>
      <c r="H150" s="139">
        <f t="shared" si="16"/>
        <v>0.80800000000000005</v>
      </c>
    </row>
    <row r="151" spans="2:8">
      <c r="B151" s="138">
        <f t="shared" si="14"/>
        <v>1.6000000000000012</v>
      </c>
      <c r="C151" s="139">
        <f t="shared" si="16"/>
        <v>0.69200000000000006</v>
      </c>
      <c r="D151" s="139">
        <f t="shared" si="16"/>
        <v>0.73199999999999998</v>
      </c>
      <c r="E151" s="139">
        <f t="shared" si="16"/>
        <v>0.75600000000000001</v>
      </c>
      <c r="F151" s="139">
        <f t="shared" si="16"/>
        <v>0.77600000000000002</v>
      </c>
      <c r="G151" s="139">
        <f t="shared" si="16"/>
        <v>0.79600000000000004</v>
      </c>
      <c r="H151" s="139">
        <f t="shared" si="16"/>
        <v>0.81</v>
      </c>
    </row>
    <row r="152" spans="2:8">
      <c r="B152" s="138">
        <f t="shared" si="14"/>
        <v>1.6100000000000012</v>
      </c>
      <c r="C152" s="139">
        <f t="shared" si="16"/>
        <v>0.69320000000000004</v>
      </c>
      <c r="D152" s="139">
        <f t="shared" si="16"/>
        <v>0.73319999999999996</v>
      </c>
      <c r="E152" s="139">
        <f t="shared" si="16"/>
        <v>0.75760000000000005</v>
      </c>
      <c r="F152" s="139">
        <f t="shared" si="16"/>
        <v>0.77760000000000007</v>
      </c>
      <c r="G152" s="139">
        <f t="shared" si="16"/>
        <v>0.79759999999999998</v>
      </c>
      <c r="H152" s="139">
        <f t="shared" si="16"/>
        <v>0.81200000000000006</v>
      </c>
    </row>
    <row r="153" spans="2:8">
      <c r="B153" s="138">
        <f t="shared" si="14"/>
        <v>1.6200000000000012</v>
      </c>
      <c r="C153" s="139">
        <f t="shared" si="16"/>
        <v>0.69440000000000002</v>
      </c>
      <c r="D153" s="139">
        <f t="shared" si="16"/>
        <v>0.73439999999999994</v>
      </c>
      <c r="E153" s="139">
        <f t="shared" si="16"/>
        <v>0.75919999999999999</v>
      </c>
      <c r="F153" s="139">
        <f t="shared" si="16"/>
        <v>0.7792</v>
      </c>
      <c r="G153" s="139">
        <f t="shared" si="16"/>
        <v>0.79920000000000002</v>
      </c>
      <c r="H153" s="139">
        <f t="shared" si="16"/>
        <v>0.81400000000000006</v>
      </c>
    </row>
    <row r="154" spans="2:8">
      <c r="B154" s="138">
        <f t="shared" si="14"/>
        <v>1.6300000000000012</v>
      </c>
      <c r="C154" s="139">
        <f t="shared" si="16"/>
        <v>0.6956</v>
      </c>
      <c r="D154" s="139">
        <f t="shared" si="16"/>
        <v>0.73560000000000003</v>
      </c>
      <c r="E154" s="139">
        <f t="shared" si="16"/>
        <v>0.76080000000000003</v>
      </c>
      <c r="F154" s="139">
        <f t="shared" si="16"/>
        <v>0.78080000000000005</v>
      </c>
      <c r="G154" s="139">
        <f t="shared" si="16"/>
        <v>0.80079999999999996</v>
      </c>
      <c r="H154" s="139">
        <f t="shared" si="16"/>
        <v>0.81599999999999995</v>
      </c>
    </row>
    <row r="155" spans="2:8">
      <c r="B155" s="138">
        <f t="shared" si="14"/>
        <v>1.6400000000000012</v>
      </c>
      <c r="C155" s="139">
        <f t="shared" si="16"/>
        <v>0.69679999999999997</v>
      </c>
      <c r="D155" s="139">
        <f t="shared" si="16"/>
        <v>0.73680000000000001</v>
      </c>
      <c r="E155" s="139">
        <f t="shared" si="16"/>
        <v>0.76239999999999997</v>
      </c>
      <c r="F155" s="139">
        <f t="shared" si="16"/>
        <v>0.78239999999999998</v>
      </c>
      <c r="G155" s="139">
        <f t="shared" si="16"/>
        <v>0.8024</v>
      </c>
      <c r="H155" s="139">
        <f t="shared" si="16"/>
        <v>0.81799999999999995</v>
      </c>
    </row>
    <row r="156" spans="2:8">
      <c r="B156" s="138">
        <f t="shared" si="14"/>
        <v>1.6500000000000012</v>
      </c>
      <c r="C156" s="139">
        <f t="shared" si="16"/>
        <v>0.69799999999999995</v>
      </c>
      <c r="D156" s="139">
        <f t="shared" si="16"/>
        <v>0.73799999999999999</v>
      </c>
      <c r="E156" s="139">
        <f t="shared" si="16"/>
        <v>0.76400000000000001</v>
      </c>
      <c r="F156" s="139">
        <f t="shared" si="16"/>
        <v>0.78400000000000003</v>
      </c>
      <c r="G156" s="139">
        <f t="shared" si="16"/>
        <v>0.80399999999999994</v>
      </c>
      <c r="H156" s="139">
        <f t="shared" si="16"/>
        <v>0.82</v>
      </c>
    </row>
    <row r="157" spans="2:8">
      <c r="B157" s="138">
        <f t="shared" si="14"/>
        <v>1.6600000000000013</v>
      </c>
      <c r="C157" s="139">
        <f t="shared" si="16"/>
        <v>0.69920000000000004</v>
      </c>
      <c r="D157" s="139">
        <f t="shared" si="16"/>
        <v>0.73919999999999997</v>
      </c>
      <c r="E157" s="139">
        <f t="shared" si="16"/>
        <v>0.76560000000000006</v>
      </c>
      <c r="F157" s="139">
        <f t="shared" si="16"/>
        <v>0.78560000000000008</v>
      </c>
      <c r="G157" s="139">
        <f t="shared" si="16"/>
        <v>0.80559999999999998</v>
      </c>
      <c r="H157" s="139">
        <f t="shared" si="16"/>
        <v>0.82199999999999995</v>
      </c>
    </row>
    <row r="158" spans="2:8">
      <c r="B158" s="138">
        <f t="shared" si="14"/>
        <v>1.6700000000000013</v>
      </c>
      <c r="C158" s="139">
        <f t="shared" si="16"/>
        <v>0.70040000000000002</v>
      </c>
      <c r="D158" s="139">
        <f t="shared" si="16"/>
        <v>0.74039999999999995</v>
      </c>
      <c r="E158" s="139">
        <f t="shared" si="16"/>
        <v>0.76719999999999999</v>
      </c>
      <c r="F158" s="139">
        <f t="shared" si="16"/>
        <v>0.78720000000000001</v>
      </c>
      <c r="G158" s="139">
        <f t="shared" si="16"/>
        <v>0.80720000000000003</v>
      </c>
      <c r="H158" s="139">
        <f t="shared" si="16"/>
        <v>0.82399999999999995</v>
      </c>
    </row>
    <row r="159" spans="2:8">
      <c r="B159" s="138">
        <f t="shared" si="14"/>
        <v>1.6800000000000013</v>
      </c>
      <c r="C159" s="139">
        <f t="shared" si="16"/>
        <v>0.7016</v>
      </c>
      <c r="D159" s="139">
        <f t="shared" si="16"/>
        <v>0.74160000000000004</v>
      </c>
      <c r="E159" s="139">
        <f t="shared" si="16"/>
        <v>0.76880000000000004</v>
      </c>
      <c r="F159" s="139">
        <f t="shared" si="16"/>
        <v>0.78880000000000006</v>
      </c>
      <c r="G159" s="139">
        <f t="shared" si="16"/>
        <v>0.80879999999999996</v>
      </c>
      <c r="H159" s="139">
        <f t="shared" si="16"/>
        <v>0.82599999999999996</v>
      </c>
    </row>
    <row r="160" spans="2:8">
      <c r="B160" s="138">
        <f t="shared" si="14"/>
        <v>1.6900000000000013</v>
      </c>
      <c r="C160" s="139">
        <f t="shared" si="16"/>
        <v>0.70279999999999998</v>
      </c>
      <c r="D160" s="139">
        <f t="shared" si="16"/>
        <v>0.74280000000000002</v>
      </c>
      <c r="E160" s="139">
        <f t="shared" si="16"/>
        <v>0.77039999999999997</v>
      </c>
      <c r="F160" s="139">
        <f t="shared" si="16"/>
        <v>0.79039999999999999</v>
      </c>
      <c r="G160" s="139">
        <f t="shared" si="16"/>
        <v>0.81040000000000001</v>
      </c>
      <c r="H160" s="139">
        <f t="shared" si="16"/>
        <v>0.82799999999999996</v>
      </c>
    </row>
    <row r="161" spans="2:8">
      <c r="B161" s="138">
        <f t="shared" si="14"/>
        <v>1.7000000000000013</v>
      </c>
      <c r="C161" s="139">
        <f t="shared" si="16"/>
        <v>0.70399999999999996</v>
      </c>
      <c r="D161" s="139">
        <f t="shared" si="16"/>
        <v>0.74399999999999999</v>
      </c>
      <c r="E161" s="139">
        <f t="shared" si="16"/>
        <v>0.77200000000000002</v>
      </c>
      <c r="F161" s="139">
        <f t="shared" si="16"/>
        <v>0.79200000000000004</v>
      </c>
      <c r="G161" s="139">
        <f t="shared" si="16"/>
        <v>0.81199999999999994</v>
      </c>
      <c r="H161" s="139">
        <f t="shared" si="16"/>
        <v>0.83</v>
      </c>
    </row>
    <row r="162" spans="2:8">
      <c r="B162" s="138">
        <f t="shared" si="14"/>
        <v>1.7100000000000013</v>
      </c>
      <c r="C162" s="139">
        <f t="shared" si="16"/>
        <v>0.70519999999999994</v>
      </c>
      <c r="D162" s="139">
        <f t="shared" si="16"/>
        <v>0.74519999999999997</v>
      </c>
      <c r="E162" s="139">
        <f t="shared" si="16"/>
        <v>0.77360000000000007</v>
      </c>
      <c r="F162" s="139">
        <f t="shared" si="16"/>
        <v>0.79360000000000008</v>
      </c>
      <c r="G162" s="139">
        <f t="shared" si="16"/>
        <v>0.81359999999999999</v>
      </c>
      <c r="H162" s="139">
        <f t="shared" si="16"/>
        <v>0.83199999999999996</v>
      </c>
    </row>
    <row r="163" spans="2:8">
      <c r="B163" s="138">
        <f t="shared" si="14"/>
        <v>1.7200000000000013</v>
      </c>
      <c r="C163" s="139">
        <f t="shared" si="16"/>
        <v>0.70639999999999992</v>
      </c>
      <c r="D163" s="139">
        <f t="shared" si="16"/>
        <v>0.74639999999999995</v>
      </c>
      <c r="E163" s="139">
        <f t="shared" si="16"/>
        <v>0.7752</v>
      </c>
      <c r="F163" s="139">
        <f t="shared" si="16"/>
        <v>0.79520000000000002</v>
      </c>
      <c r="G163" s="139">
        <f t="shared" si="16"/>
        <v>0.81519999999999992</v>
      </c>
      <c r="H163" s="139">
        <f t="shared" si="16"/>
        <v>0.83399999999999996</v>
      </c>
    </row>
    <row r="164" spans="2:8">
      <c r="B164" s="138">
        <f t="shared" si="14"/>
        <v>1.7300000000000013</v>
      </c>
      <c r="C164" s="139">
        <f t="shared" si="16"/>
        <v>0.70760000000000001</v>
      </c>
      <c r="D164" s="139">
        <f t="shared" si="16"/>
        <v>0.74760000000000004</v>
      </c>
      <c r="E164" s="139">
        <f t="shared" si="16"/>
        <v>0.77680000000000005</v>
      </c>
      <c r="F164" s="139">
        <f t="shared" si="16"/>
        <v>0.79680000000000006</v>
      </c>
      <c r="G164" s="139">
        <f t="shared" si="16"/>
        <v>0.81679999999999997</v>
      </c>
      <c r="H164" s="139">
        <f t="shared" si="16"/>
        <v>0.83599999999999997</v>
      </c>
    </row>
    <row r="165" spans="2:8">
      <c r="B165" s="138">
        <f t="shared" si="14"/>
        <v>1.7400000000000013</v>
      </c>
      <c r="C165" s="139">
        <f t="shared" si="16"/>
        <v>0.70879999999999999</v>
      </c>
      <c r="D165" s="139">
        <f t="shared" si="16"/>
        <v>0.74880000000000002</v>
      </c>
      <c r="E165" s="139">
        <f t="shared" si="16"/>
        <v>0.77839999999999998</v>
      </c>
      <c r="F165" s="139">
        <f t="shared" si="16"/>
        <v>0.7984</v>
      </c>
      <c r="G165" s="139">
        <f t="shared" si="16"/>
        <v>0.81839999999999991</v>
      </c>
      <c r="H165" s="139">
        <f t="shared" si="16"/>
        <v>0.83799999999999997</v>
      </c>
    </row>
    <row r="166" spans="2:8">
      <c r="B166" s="134">
        <f t="shared" si="14"/>
        <v>1.7500000000000013</v>
      </c>
      <c r="C166" s="104">
        <v>0.71</v>
      </c>
      <c r="D166" s="141">
        <v>0.75</v>
      </c>
      <c r="E166" s="141">
        <v>0.78</v>
      </c>
      <c r="F166" s="141">
        <v>0.8</v>
      </c>
      <c r="G166" s="141">
        <v>0.82</v>
      </c>
      <c r="H166" s="141">
        <v>0.84</v>
      </c>
    </row>
    <row r="167" spans="2:8">
      <c r="B167" s="138">
        <f t="shared" si="14"/>
        <v>1.7600000000000013</v>
      </c>
      <c r="C167" s="139">
        <f t="shared" ref="C167:H167" si="17">C$166+(C$191-C$166)*($B167-$B$166)/($B$191-$B$166)</f>
        <v>0.71</v>
      </c>
      <c r="D167" s="139">
        <f t="shared" si="17"/>
        <v>0.75160000000000005</v>
      </c>
      <c r="E167" s="139">
        <f t="shared" si="17"/>
        <v>0.78160000000000007</v>
      </c>
      <c r="F167" s="139">
        <f t="shared" si="17"/>
        <v>0.80160000000000009</v>
      </c>
      <c r="G167" s="139">
        <f t="shared" si="17"/>
        <v>0.8216</v>
      </c>
      <c r="H167" s="139">
        <f t="shared" si="17"/>
        <v>0.84160000000000001</v>
      </c>
    </row>
    <row r="168" spans="2:8">
      <c r="B168" s="138">
        <f t="shared" si="14"/>
        <v>1.7700000000000014</v>
      </c>
      <c r="C168" s="139">
        <f t="shared" ref="C168:H190" si="18">C$166+(C$191-C$166)*($B168-$B$166)/($B$191-$B$166)</f>
        <v>0.71</v>
      </c>
      <c r="D168" s="139">
        <f t="shared" si="18"/>
        <v>0.75319999999999998</v>
      </c>
      <c r="E168" s="139">
        <f t="shared" si="18"/>
        <v>0.78320000000000001</v>
      </c>
      <c r="F168" s="139">
        <f t="shared" si="18"/>
        <v>0.80320000000000003</v>
      </c>
      <c r="G168" s="139">
        <f t="shared" si="18"/>
        <v>0.82319999999999993</v>
      </c>
      <c r="H168" s="139">
        <f t="shared" si="18"/>
        <v>0.84319999999999995</v>
      </c>
    </row>
    <row r="169" spans="2:8">
      <c r="B169" s="138">
        <f t="shared" si="14"/>
        <v>1.7800000000000014</v>
      </c>
      <c r="C169" s="139">
        <f t="shared" si="18"/>
        <v>0.71</v>
      </c>
      <c r="D169" s="139">
        <f t="shared" si="18"/>
        <v>0.75480000000000003</v>
      </c>
      <c r="E169" s="139">
        <f t="shared" si="18"/>
        <v>0.78480000000000005</v>
      </c>
      <c r="F169" s="139">
        <f t="shared" si="18"/>
        <v>0.80480000000000007</v>
      </c>
      <c r="G169" s="139">
        <f t="shared" si="18"/>
        <v>0.82479999999999998</v>
      </c>
      <c r="H169" s="139">
        <f t="shared" si="18"/>
        <v>0.8448</v>
      </c>
    </row>
    <row r="170" spans="2:8">
      <c r="B170" s="138">
        <f t="shared" si="14"/>
        <v>1.7900000000000014</v>
      </c>
      <c r="C170" s="139">
        <f t="shared" si="18"/>
        <v>0.71</v>
      </c>
      <c r="D170" s="139">
        <f t="shared" si="18"/>
        <v>0.75639999999999996</v>
      </c>
      <c r="E170" s="139">
        <f t="shared" si="18"/>
        <v>0.78639999999999999</v>
      </c>
      <c r="F170" s="139">
        <f t="shared" si="18"/>
        <v>0.80640000000000001</v>
      </c>
      <c r="G170" s="139">
        <f t="shared" si="18"/>
        <v>0.82639999999999991</v>
      </c>
      <c r="H170" s="139">
        <f t="shared" si="18"/>
        <v>0.84639999999999993</v>
      </c>
    </row>
    <row r="171" spans="2:8">
      <c r="B171" s="138">
        <f t="shared" si="14"/>
        <v>1.8000000000000014</v>
      </c>
      <c r="C171" s="139">
        <f t="shared" si="18"/>
        <v>0.71</v>
      </c>
      <c r="D171" s="139">
        <f t="shared" si="18"/>
        <v>0.75800000000000001</v>
      </c>
      <c r="E171" s="139">
        <f t="shared" si="18"/>
        <v>0.78800000000000003</v>
      </c>
      <c r="F171" s="139">
        <f t="shared" si="18"/>
        <v>0.80800000000000005</v>
      </c>
      <c r="G171" s="139">
        <f t="shared" si="18"/>
        <v>0.82799999999999996</v>
      </c>
      <c r="H171" s="139">
        <f t="shared" si="18"/>
        <v>0.84799999999999998</v>
      </c>
    </row>
    <row r="172" spans="2:8">
      <c r="B172" s="138">
        <f t="shared" si="14"/>
        <v>1.8100000000000014</v>
      </c>
      <c r="C172" s="139">
        <f t="shared" si="18"/>
        <v>0.71</v>
      </c>
      <c r="D172" s="139">
        <f t="shared" si="18"/>
        <v>0.75960000000000005</v>
      </c>
      <c r="E172" s="139">
        <f t="shared" si="18"/>
        <v>0.78959999999999997</v>
      </c>
      <c r="F172" s="139">
        <f t="shared" si="18"/>
        <v>0.80959999999999999</v>
      </c>
      <c r="G172" s="139">
        <f t="shared" si="18"/>
        <v>0.8296</v>
      </c>
      <c r="H172" s="139">
        <f t="shared" si="18"/>
        <v>0.84960000000000002</v>
      </c>
    </row>
    <row r="173" spans="2:8">
      <c r="B173" s="138">
        <f t="shared" si="14"/>
        <v>1.8200000000000014</v>
      </c>
      <c r="C173" s="139">
        <f t="shared" si="18"/>
        <v>0.71</v>
      </c>
      <c r="D173" s="139">
        <f t="shared" si="18"/>
        <v>0.76119999999999999</v>
      </c>
      <c r="E173" s="139">
        <f t="shared" si="18"/>
        <v>0.79120000000000001</v>
      </c>
      <c r="F173" s="139">
        <f t="shared" si="18"/>
        <v>0.81120000000000003</v>
      </c>
      <c r="G173" s="139">
        <f t="shared" si="18"/>
        <v>0.83119999999999994</v>
      </c>
      <c r="H173" s="139">
        <f t="shared" si="18"/>
        <v>0.85119999999999996</v>
      </c>
    </row>
    <row r="174" spans="2:8">
      <c r="B174" s="138">
        <f t="shared" si="14"/>
        <v>1.8300000000000014</v>
      </c>
      <c r="C174" s="139">
        <f t="shared" si="18"/>
        <v>0.71</v>
      </c>
      <c r="D174" s="139">
        <f t="shared" si="18"/>
        <v>0.76280000000000003</v>
      </c>
      <c r="E174" s="139">
        <f t="shared" si="18"/>
        <v>0.79280000000000006</v>
      </c>
      <c r="F174" s="139">
        <f t="shared" si="18"/>
        <v>0.81280000000000008</v>
      </c>
      <c r="G174" s="139">
        <f t="shared" si="18"/>
        <v>0.83279999999999998</v>
      </c>
      <c r="H174" s="139">
        <f t="shared" si="18"/>
        <v>0.8528</v>
      </c>
    </row>
    <row r="175" spans="2:8">
      <c r="B175" s="138">
        <f t="shared" si="14"/>
        <v>1.8400000000000014</v>
      </c>
      <c r="C175" s="139">
        <f t="shared" si="18"/>
        <v>0.71</v>
      </c>
      <c r="D175" s="139">
        <f t="shared" si="18"/>
        <v>0.76440000000000008</v>
      </c>
      <c r="E175" s="139">
        <f t="shared" si="18"/>
        <v>0.7944</v>
      </c>
      <c r="F175" s="139">
        <f t="shared" si="18"/>
        <v>0.81440000000000001</v>
      </c>
      <c r="G175" s="139">
        <f t="shared" si="18"/>
        <v>0.83440000000000003</v>
      </c>
      <c r="H175" s="139">
        <f t="shared" si="18"/>
        <v>0.85440000000000005</v>
      </c>
    </row>
    <row r="176" spans="2:8">
      <c r="B176" s="138">
        <f t="shared" si="14"/>
        <v>1.8500000000000014</v>
      </c>
      <c r="C176" s="139">
        <f t="shared" si="18"/>
        <v>0.71</v>
      </c>
      <c r="D176" s="139">
        <f t="shared" si="18"/>
        <v>0.76600000000000001</v>
      </c>
      <c r="E176" s="139">
        <f t="shared" si="18"/>
        <v>0.79600000000000004</v>
      </c>
      <c r="F176" s="139">
        <f t="shared" si="18"/>
        <v>0.81600000000000006</v>
      </c>
      <c r="G176" s="139">
        <f t="shared" si="18"/>
        <v>0.83599999999999997</v>
      </c>
      <c r="H176" s="139">
        <f t="shared" si="18"/>
        <v>0.85599999999999998</v>
      </c>
    </row>
    <row r="177" spans="2:8">
      <c r="B177" s="138">
        <f t="shared" si="14"/>
        <v>1.8600000000000014</v>
      </c>
      <c r="C177" s="139">
        <f t="shared" si="18"/>
        <v>0.71</v>
      </c>
      <c r="D177" s="139">
        <f t="shared" si="18"/>
        <v>0.76760000000000006</v>
      </c>
      <c r="E177" s="139">
        <f t="shared" si="18"/>
        <v>0.79759999999999998</v>
      </c>
      <c r="F177" s="139">
        <f t="shared" si="18"/>
        <v>0.81759999999999999</v>
      </c>
      <c r="G177" s="139">
        <f t="shared" si="18"/>
        <v>0.83760000000000001</v>
      </c>
      <c r="H177" s="139">
        <f t="shared" si="18"/>
        <v>0.85760000000000003</v>
      </c>
    </row>
    <row r="178" spans="2:8">
      <c r="B178" s="138">
        <f t="shared" si="14"/>
        <v>1.8700000000000014</v>
      </c>
      <c r="C178" s="139">
        <f t="shared" si="18"/>
        <v>0.71</v>
      </c>
      <c r="D178" s="139">
        <f t="shared" si="18"/>
        <v>0.76919999999999999</v>
      </c>
      <c r="E178" s="139">
        <f t="shared" si="18"/>
        <v>0.79920000000000002</v>
      </c>
      <c r="F178" s="139">
        <f t="shared" si="18"/>
        <v>0.81920000000000004</v>
      </c>
      <c r="G178" s="139">
        <f t="shared" si="18"/>
        <v>0.83919999999999995</v>
      </c>
      <c r="H178" s="139">
        <f t="shared" si="18"/>
        <v>0.85919999999999996</v>
      </c>
    </row>
    <row r="179" spans="2:8">
      <c r="B179" s="138">
        <f t="shared" si="14"/>
        <v>1.8800000000000014</v>
      </c>
      <c r="C179" s="139">
        <f t="shared" si="18"/>
        <v>0.71</v>
      </c>
      <c r="D179" s="139">
        <f t="shared" si="18"/>
        <v>0.77080000000000004</v>
      </c>
      <c r="E179" s="139">
        <f t="shared" si="18"/>
        <v>0.80079999999999996</v>
      </c>
      <c r="F179" s="139">
        <f t="shared" si="18"/>
        <v>0.82079999999999997</v>
      </c>
      <c r="G179" s="139">
        <f t="shared" si="18"/>
        <v>0.84079999999999999</v>
      </c>
      <c r="H179" s="139">
        <f t="shared" si="18"/>
        <v>0.86080000000000001</v>
      </c>
    </row>
    <row r="180" spans="2:8">
      <c r="B180" s="138">
        <f t="shared" si="14"/>
        <v>1.8900000000000015</v>
      </c>
      <c r="C180" s="139">
        <f t="shared" si="18"/>
        <v>0.71</v>
      </c>
      <c r="D180" s="139">
        <f t="shared" si="18"/>
        <v>0.77240000000000009</v>
      </c>
      <c r="E180" s="139">
        <f t="shared" si="18"/>
        <v>0.8024</v>
      </c>
      <c r="F180" s="139">
        <f t="shared" si="18"/>
        <v>0.82240000000000002</v>
      </c>
      <c r="G180" s="139">
        <f t="shared" si="18"/>
        <v>0.84240000000000004</v>
      </c>
      <c r="H180" s="139">
        <f t="shared" si="18"/>
        <v>0.86240000000000006</v>
      </c>
    </row>
    <row r="181" spans="2:8">
      <c r="B181" s="138">
        <f t="shared" si="14"/>
        <v>1.9000000000000015</v>
      </c>
      <c r="C181" s="139">
        <f t="shared" si="18"/>
        <v>0.71</v>
      </c>
      <c r="D181" s="139">
        <f t="shared" si="18"/>
        <v>0.77400000000000002</v>
      </c>
      <c r="E181" s="139">
        <f t="shared" si="18"/>
        <v>0.80400000000000005</v>
      </c>
      <c r="F181" s="139">
        <f t="shared" si="18"/>
        <v>0.82400000000000007</v>
      </c>
      <c r="G181" s="139">
        <f t="shared" si="18"/>
        <v>0.84399999999999997</v>
      </c>
      <c r="H181" s="139">
        <f t="shared" si="18"/>
        <v>0.86399999999999999</v>
      </c>
    </row>
    <row r="182" spans="2:8">
      <c r="B182" s="138">
        <f t="shared" si="14"/>
        <v>1.9100000000000015</v>
      </c>
      <c r="C182" s="139">
        <f t="shared" si="18"/>
        <v>0.71</v>
      </c>
      <c r="D182" s="139">
        <f t="shared" si="18"/>
        <v>0.77560000000000007</v>
      </c>
      <c r="E182" s="139">
        <f t="shared" si="18"/>
        <v>0.80559999999999998</v>
      </c>
      <c r="F182" s="139">
        <f t="shared" si="18"/>
        <v>0.8256</v>
      </c>
      <c r="G182" s="139">
        <f t="shared" si="18"/>
        <v>0.84560000000000002</v>
      </c>
      <c r="H182" s="139">
        <f t="shared" si="18"/>
        <v>0.86560000000000004</v>
      </c>
    </row>
    <row r="183" spans="2:8">
      <c r="B183" s="138">
        <f t="shared" si="14"/>
        <v>1.9200000000000015</v>
      </c>
      <c r="C183" s="139">
        <f t="shared" si="18"/>
        <v>0.71</v>
      </c>
      <c r="D183" s="139">
        <f t="shared" si="18"/>
        <v>0.7772</v>
      </c>
      <c r="E183" s="139">
        <f t="shared" si="18"/>
        <v>0.80720000000000003</v>
      </c>
      <c r="F183" s="139">
        <f t="shared" si="18"/>
        <v>0.82720000000000005</v>
      </c>
      <c r="G183" s="139">
        <f t="shared" si="18"/>
        <v>0.84719999999999995</v>
      </c>
      <c r="H183" s="139">
        <f t="shared" si="18"/>
        <v>0.86719999999999997</v>
      </c>
    </row>
    <row r="184" spans="2:8">
      <c r="B184" s="138">
        <f t="shared" si="14"/>
        <v>1.9300000000000015</v>
      </c>
      <c r="C184" s="139">
        <f t="shared" si="18"/>
        <v>0.71</v>
      </c>
      <c r="D184" s="139">
        <f t="shared" si="18"/>
        <v>0.77880000000000005</v>
      </c>
      <c r="E184" s="139">
        <f t="shared" si="18"/>
        <v>0.80879999999999996</v>
      </c>
      <c r="F184" s="139">
        <f t="shared" si="18"/>
        <v>0.82879999999999998</v>
      </c>
      <c r="G184" s="139">
        <f t="shared" si="18"/>
        <v>0.8488</v>
      </c>
      <c r="H184" s="139">
        <f t="shared" si="18"/>
        <v>0.86880000000000002</v>
      </c>
    </row>
    <row r="185" spans="2:8">
      <c r="B185" s="138">
        <f t="shared" si="14"/>
        <v>1.9400000000000015</v>
      </c>
      <c r="C185" s="139">
        <f t="shared" si="18"/>
        <v>0.71</v>
      </c>
      <c r="D185" s="139">
        <f t="shared" si="18"/>
        <v>0.78040000000000009</v>
      </c>
      <c r="E185" s="139">
        <f t="shared" si="18"/>
        <v>0.81040000000000001</v>
      </c>
      <c r="F185" s="139">
        <f t="shared" si="18"/>
        <v>0.83040000000000003</v>
      </c>
      <c r="G185" s="139">
        <f t="shared" si="18"/>
        <v>0.85040000000000004</v>
      </c>
      <c r="H185" s="139">
        <f t="shared" si="18"/>
        <v>0.87040000000000006</v>
      </c>
    </row>
    <row r="186" spans="2:8">
      <c r="B186" s="138">
        <f t="shared" si="14"/>
        <v>1.9500000000000015</v>
      </c>
      <c r="C186" s="139">
        <f t="shared" si="18"/>
        <v>0.71</v>
      </c>
      <c r="D186" s="139">
        <f t="shared" si="18"/>
        <v>0.78200000000000003</v>
      </c>
      <c r="E186" s="139">
        <f t="shared" si="18"/>
        <v>0.81199999999999994</v>
      </c>
      <c r="F186" s="139">
        <f t="shared" si="18"/>
        <v>0.83199999999999996</v>
      </c>
      <c r="G186" s="139">
        <f t="shared" si="18"/>
        <v>0.85199999999999998</v>
      </c>
      <c r="H186" s="139">
        <f t="shared" si="18"/>
        <v>0.872</v>
      </c>
    </row>
    <row r="187" spans="2:8">
      <c r="B187" s="138">
        <f t="shared" si="14"/>
        <v>1.9600000000000015</v>
      </c>
      <c r="C187" s="139">
        <f t="shared" si="18"/>
        <v>0.71</v>
      </c>
      <c r="D187" s="139">
        <f t="shared" si="18"/>
        <v>0.78360000000000007</v>
      </c>
      <c r="E187" s="139">
        <f t="shared" si="18"/>
        <v>0.81359999999999999</v>
      </c>
      <c r="F187" s="139">
        <f t="shared" si="18"/>
        <v>0.83360000000000001</v>
      </c>
      <c r="G187" s="139">
        <f t="shared" si="18"/>
        <v>0.85360000000000003</v>
      </c>
      <c r="H187" s="139">
        <f t="shared" si="18"/>
        <v>0.87360000000000004</v>
      </c>
    </row>
    <row r="188" spans="2:8">
      <c r="B188" s="138">
        <f t="shared" si="14"/>
        <v>1.9700000000000015</v>
      </c>
      <c r="C188" s="139">
        <f t="shared" si="18"/>
        <v>0.71</v>
      </c>
      <c r="D188" s="139">
        <f t="shared" si="18"/>
        <v>0.78520000000000012</v>
      </c>
      <c r="E188" s="139">
        <f t="shared" si="18"/>
        <v>0.81520000000000004</v>
      </c>
      <c r="F188" s="139">
        <f t="shared" si="18"/>
        <v>0.83520000000000005</v>
      </c>
      <c r="G188" s="139">
        <f t="shared" si="18"/>
        <v>0.85519999999999996</v>
      </c>
      <c r="H188" s="139">
        <f t="shared" si="18"/>
        <v>0.87519999999999998</v>
      </c>
    </row>
    <row r="189" spans="2:8">
      <c r="B189" s="138">
        <f t="shared" si="14"/>
        <v>1.9800000000000015</v>
      </c>
      <c r="C189" s="139">
        <f t="shared" si="18"/>
        <v>0.71</v>
      </c>
      <c r="D189" s="139">
        <f t="shared" si="18"/>
        <v>0.78680000000000005</v>
      </c>
      <c r="E189" s="139">
        <f t="shared" si="18"/>
        <v>0.81679999999999997</v>
      </c>
      <c r="F189" s="139">
        <f t="shared" si="18"/>
        <v>0.83679999999999999</v>
      </c>
      <c r="G189" s="139">
        <f t="shared" si="18"/>
        <v>0.85680000000000001</v>
      </c>
      <c r="H189" s="139">
        <f t="shared" si="18"/>
        <v>0.87680000000000002</v>
      </c>
    </row>
    <row r="190" spans="2:8">
      <c r="B190" s="138">
        <f t="shared" si="14"/>
        <v>1.9900000000000015</v>
      </c>
      <c r="C190" s="143">
        <f t="shared" si="18"/>
        <v>0.71</v>
      </c>
      <c r="D190" s="143">
        <f t="shared" si="18"/>
        <v>0.7884000000000001</v>
      </c>
      <c r="E190" s="143">
        <f t="shared" si="18"/>
        <v>0.81840000000000002</v>
      </c>
      <c r="F190" s="143">
        <f t="shared" si="18"/>
        <v>0.83840000000000003</v>
      </c>
      <c r="G190" s="143">
        <f t="shared" si="18"/>
        <v>0.85840000000000005</v>
      </c>
      <c r="H190" s="143">
        <f t="shared" si="18"/>
        <v>0.87840000000000007</v>
      </c>
    </row>
    <row r="191" spans="2:8">
      <c r="B191" s="134">
        <f t="shared" si="14"/>
        <v>2.0000000000000013</v>
      </c>
      <c r="C191" s="104">
        <v>0.71</v>
      </c>
      <c r="D191" s="141">
        <v>0.79</v>
      </c>
      <c r="E191" s="141">
        <v>0.82</v>
      </c>
      <c r="F191" s="141">
        <v>0.84</v>
      </c>
      <c r="G191" s="141">
        <v>0.86</v>
      </c>
      <c r="H191" s="141">
        <v>0.88</v>
      </c>
    </row>
    <row r="192" spans="2:8">
      <c r="B192" s="138">
        <f t="shared" si="14"/>
        <v>2.0100000000000011</v>
      </c>
      <c r="C192" s="142">
        <f t="shared" ref="C192:H192" si="19">C$191+(C$216-C$191)*($B192-$B$191)/($B$216-$B$191)</f>
        <v>0.71</v>
      </c>
      <c r="D192" s="142">
        <f t="shared" si="19"/>
        <v>0.79080000000000006</v>
      </c>
      <c r="E192" s="142">
        <f t="shared" si="19"/>
        <v>0.82119999999999993</v>
      </c>
      <c r="F192" s="142">
        <f t="shared" si="19"/>
        <v>0.84160000000000001</v>
      </c>
      <c r="G192" s="142">
        <f t="shared" si="19"/>
        <v>0.86160000000000003</v>
      </c>
      <c r="H192" s="142">
        <f t="shared" si="19"/>
        <v>0.88160000000000005</v>
      </c>
    </row>
    <row r="193" spans="2:8">
      <c r="B193" s="138">
        <f t="shared" si="14"/>
        <v>2.0200000000000009</v>
      </c>
      <c r="C193" s="139">
        <f t="shared" ref="C193:H215" si="20">C$191+(C$216-C$191)*($B193-$B$191)/($B$216-$B$191)</f>
        <v>0.71</v>
      </c>
      <c r="D193" s="139">
        <f t="shared" si="20"/>
        <v>0.79160000000000008</v>
      </c>
      <c r="E193" s="139">
        <f t="shared" si="20"/>
        <v>0.82239999999999991</v>
      </c>
      <c r="F193" s="139">
        <f t="shared" si="20"/>
        <v>0.84319999999999995</v>
      </c>
      <c r="G193" s="139">
        <f t="shared" si="20"/>
        <v>0.86319999999999997</v>
      </c>
      <c r="H193" s="139">
        <f t="shared" si="20"/>
        <v>0.88319999999999999</v>
      </c>
    </row>
    <row r="194" spans="2:8">
      <c r="B194" s="138">
        <f t="shared" si="14"/>
        <v>2.0300000000000007</v>
      </c>
      <c r="C194" s="139">
        <f t="shared" si="20"/>
        <v>0.71</v>
      </c>
      <c r="D194" s="139">
        <f t="shared" si="20"/>
        <v>0.79239999999999999</v>
      </c>
      <c r="E194" s="139">
        <f t="shared" si="20"/>
        <v>0.8236</v>
      </c>
      <c r="F194" s="139">
        <f t="shared" si="20"/>
        <v>0.8448</v>
      </c>
      <c r="G194" s="139">
        <f t="shared" si="20"/>
        <v>0.86480000000000001</v>
      </c>
      <c r="H194" s="139">
        <f t="shared" si="20"/>
        <v>0.88480000000000003</v>
      </c>
    </row>
    <row r="195" spans="2:8">
      <c r="B195" s="138">
        <f t="shared" si="14"/>
        <v>2.0400000000000005</v>
      </c>
      <c r="C195" s="139">
        <f t="shared" si="20"/>
        <v>0.71</v>
      </c>
      <c r="D195" s="139">
        <f t="shared" si="20"/>
        <v>0.79320000000000002</v>
      </c>
      <c r="E195" s="139">
        <f t="shared" si="20"/>
        <v>0.82479999999999998</v>
      </c>
      <c r="F195" s="139">
        <f t="shared" si="20"/>
        <v>0.84639999999999993</v>
      </c>
      <c r="G195" s="139">
        <f t="shared" si="20"/>
        <v>0.86639999999999995</v>
      </c>
      <c r="H195" s="139">
        <f t="shared" si="20"/>
        <v>0.88639999999999997</v>
      </c>
    </row>
    <row r="196" spans="2:8">
      <c r="B196" s="138">
        <f t="shared" si="14"/>
        <v>2.0500000000000003</v>
      </c>
      <c r="C196" s="139">
        <f t="shared" si="20"/>
        <v>0.71</v>
      </c>
      <c r="D196" s="139">
        <f t="shared" si="20"/>
        <v>0.79400000000000004</v>
      </c>
      <c r="E196" s="139">
        <f t="shared" si="20"/>
        <v>0.82599999999999996</v>
      </c>
      <c r="F196" s="139">
        <f t="shared" si="20"/>
        <v>0.84799999999999998</v>
      </c>
      <c r="G196" s="139">
        <f t="shared" si="20"/>
        <v>0.86799999999999999</v>
      </c>
      <c r="H196" s="139">
        <f t="shared" si="20"/>
        <v>0.88800000000000001</v>
      </c>
    </row>
    <row r="197" spans="2:8">
      <c r="B197" s="138">
        <f t="shared" si="14"/>
        <v>2.06</v>
      </c>
      <c r="C197" s="139">
        <f t="shared" si="20"/>
        <v>0.71</v>
      </c>
      <c r="D197" s="139">
        <f t="shared" si="20"/>
        <v>0.79480000000000006</v>
      </c>
      <c r="E197" s="139">
        <f t="shared" si="20"/>
        <v>0.82719999999999994</v>
      </c>
      <c r="F197" s="139">
        <f t="shared" si="20"/>
        <v>0.84960000000000002</v>
      </c>
      <c r="G197" s="139">
        <f t="shared" si="20"/>
        <v>0.86960000000000004</v>
      </c>
      <c r="H197" s="139">
        <f t="shared" si="20"/>
        <v>0.88960000000000006</v>
      </c>
    </row>
    <row r="198" spans="2:8">
      <c r="B198" s="138">
        <f t="shared" si="14"/>
        <v>2.0699999999999998</v>
      </c>
      <c r="C198" s="139">
        <f t="shared" si="20"/>
        <v>0.71</v>
      </c>
      <c r="D198" s="139">
        <f t="shared" si="20"/>
        <v>0.79560000000000008</v>
      </c>
      <c r="E198" s="139">
        <f t="shared" si="20"/>
        <v>0.82839999999999991</v>
      </c>
      <c r="F198" s="139">
        <f t="shared" si="20"/>
        <v>0.85119999999999996</v>
      </c>
      <c r="G198" s="139">
        <f t="shared" si="20"/>
        <v>0.87119999999999997</v>
      </c>
      <c r="H198" s="139">
        <f t="shared" si="20"/>
        <v>0.89119999999999999</v>
      </c>
    </row>
    <row r="199" spans="2:8">
      <c r="B199" s="138">
        <f t="shared" ref="B199:B262" si="21">B198+0.01</f>
        <v>2.0799999999999996</v>
      </c>
      <c r="C199" s="139">
        <f t="shared" si="20"/>
        <v>0.71</v>
      </c>
      <c r="D199" s="139">
        <f t="shared" si="20"/>
        <v>0.7964</v>
      </c>
      <c r="E199" s="139">
        <f t="shared" si="20"/>
        <v>0.8296</v>
      </c>
      <c r="F199" s="139">
        <f t="shared" si="20"/>
        <v>0.8528</v>
      </c>
      <c r="G199" s="139">
        <f t="shared" si="20"/>
        <v>0.87280000000000002</v>
      </c>
      <c r="H199" s="139">
        <f t="shared" si="20"/>
        <v>0.89280000000000004</v>
      </c>
    </row>
    <row r="200" spans="2:8">
      <c r="B200" s="138">
        <f t="shared" si="21"/>
        <v>2.0899999999999994</v>
      </c>
      <c r="C200" s="139">
        <f t="shared" si="20"/>
        <v>0.71</v>
      </c>
      <c r="D200" s="139">
        <f t="shared" si="20"/>
        <v>0.79720000000000002</v>
      </c>
      <c r="E200" s="139">
        <f t="shared" si="20"/>
        <v>0.83079999999999998</v>
      </c>
      <c r="F200" s="139">
        <f t="shared" si="20"/>
        <v>0.85439999999999994</v>
      </c>
      <c r="G200" s="139">
        <f t="shared" si="20"/>
        <v>0.87439999999999996</v>
      </c>
      <c r="H200" s="139">
        <f t="shared" si="20"/>
        <v>0.89439999999999997</v>
      </c>
    </row>
    <row r="201" spans="2:8">
      <c r="B201" s="138">
        <f t="shared" si="21"/>
        <v>2.0999999999999992</v>
      </c>
      <c r="C201" s="139">
        <f t="shared" si="20"/>
        <v>0.71</v>
      </c>
      <c r="D201" s="139">
        <f t="shared" si="20"/>
        <v>0.79800000000000004</v>
      </c>
      <c r="E201" s="139">
        <f t="shared" si="20"/>
        <v>0.83199999999999996</v>
      </c>
      <c r="F201" s="139">
        <f t="shared" si="20"/>
        <v>0.85599999999999998</v>
      </c>
      <c r="G201" s="139">
        <f t="shared" si="20"/>
        <v>0.876</v>
      </c>
      <c r="H201" s="139">
        <f t="shared" si="20"/>
        <v>0.89600000000000002</v>
      </c>
    </row>
    <row r="202" spans="2:8">
      <c r="B202" s="138">
        <f t="shared" si="21"/>
        <v>2.109999999999999</v>
      </c>
      <c r="C202" s="139">
        <f t="shared" si="20"/>
        <v>0.71</v>
      </c>
      <c r="D202" s="139">
        <f t="shared" si="20"/>
        <v>0.79880000000000007</v>
      </c>
      <c r="E202" s="139">
        <f t="shared" si="20"/>
        <v>0.83319999999999994</v>
      </c>
      <c r="F202" s="139">
        <f t="shared" si="20"/>
        <v>0.85760000000000003</v>
      </c>
      <c r="G202" s="139">
        <f t="shared" si="20"/>
        <v>0.87760000000000005</v>
      </c>
      <c r="H202" s="139">
        <f t="shared" si="20"/>
        <v>0.89760000000000006</v>
      </c>
    </row>
    <row r="203" spans="2:8">
      <c r="B203" s="138">
        <f t="shared" si="21"/>
        <v>2.1199999999999988</v>
      </c>
      <c r="C203" s="139">
        <f t="shared" si="20"/>
        <v>0.71</v>
      </c>
      <c r="D203" s="139">
        <f t="shared" si="20"/>
        <v>0.79960000000000009</v>
      </c>
      <c r="E203" s="139">
        <f t="shared" si="20"/>
        <v>0.83439999999999992</v>
      </c>
      <c r="F203" s="139">
        <f t="shared" si="20"/>
        <v>0.85919999999999996</v>
      </c>
      <c r="G203" s="139">
        <f t="shared" si="20"/>
        <v>0.87919999999999998</v>
      </c>
      <c r="H203" s="139">
        <f t="shared" si="20"/>
        <v>0.8992</v>
      </c>
    </row>
    <row r="204" spans="2:8">
      <c r="B204" s="138">
        <f t="shared" si="21"/>
        <v>2.1299999999999986</v>
      </c>
      <c r="C204" s="139">
        <f t="shared" si="20"/>
        <v>0.71</v>
      </c>
      <c r="D204" s="139">
        <f t="shared" si="20"/>
        <v>0.8004</v>
      </c>
      <c r="E204" s="139">
        <f t="shared" si="20"/>
        <v>0.83560000000000001</v>
      </c>
      <c r="F204" s="139">
        <f t="shared" si="20"/>
        <v>0.86080000000000001</v>
      </c>
      <c r="G204" s="139">
        <f t="shared" si="20"/>
        <v>0.88080000000000003</v>
      </c>
      <c r="H204" s="139">
        <f t="shared" si="20"/>
        <v>0.90080000000000005</v>
      </c>
    </row>
    <row r="205" spans="2:8">
      <c r="B205" s="138">
        <f t="shared" si="21"/>
        <v>2.1399999999999983</v>
      </c>
      <c r="C205" s="139">
        <f t="shared" si="20"/>
        <v>0.71</v>
      </c>
      <c r="D205" s="139">
        <f t="shared" si="20"/>
        <v>0.80120000000000002</v>
      </c>
      <c r="E205" s="139">
        <f t="shared" si="20"/>
        <v>0.83679999999999999</v>
      </c>
      <c r="F205" s="139">
        <f t="shared" si="20"/>
        <v>0.86239999999999994</v>
      </c>
      <c r="G205" s="139">
        <f t="shared" si="20"/>
        <v>0.88239999999999996</v>
      </c>
      <c r="H205" s="139">
        <f t="shared" si="20"/>
        <v>0.90239999999999998</v>
      </c>
    </row>
    <row r="206" spans="2:8">
      <c r="B206" s="138">
        <f t="shared" si="21"/>
        <v>2.1499999999999981</v>
      </c>
      <c r="C206" s="139">
        <f t="shared" si="20"/>
        <v>0.71</v>
      </c>
      <c r="D206" s="139">
        <f t="shared" si="20"/>
        <v>0.80200000000000005</v>
      </c>
      <c r="E206" s="139">
        <f t="shared" si="20"/>
        <v>0.83799999999999997</v>
      </c>
      <c r="F206" s="139">
        <f t="shared" si="20"/>
        <v>0.86399999999999999</v>
      </c>
      <c r="G206" s="139">
        <f t="shared" si="20"/>
        <v>0.88400000000000001</v>
      </c>
      <c r="H206" s="139">
        <f t="shared" si="20"/>
        <v>0.90400000000000003</v>
      </c>
    </row>
    <row r="207" spans="2:8">
      <c r="B207" s="138">
        <f t="shared" si="21"/>
        <v>2.1599999999999979</v>
      </c>
      <c r="C207" s="139">
        <f t="shared" si="20"/>
        <v>0.71</v>
      </c>
      <c r="D207" s="139">
        <f t="shared" si="20"/>
        <v>0.80280000000000007</v>
      </c>
      <c r="E207" s="139">
        <f t="shared" si="20"/>
        <v>0.83919999999999995</v>
      </c>
      <c r="F207" s="139">
        <f t="shared" si="20"/>
        <v>0.86560000000000004</v>
      </c>
      <c r="G207" s="139">
        <f t="shared" si="20"/>
        <v>0.88560000000000005</v>
      </c>
      <c r="H207" s="139">
        <f t="shared" si="20"/>
        <v>0.90560000000000007</v>
      </c>
    </row>
    <row r="208" spans="2:8">
      <c r="B208" s="138">
        <f t="shared" si="21"/>
        <v>2.1699999999999977</v>
      </c>
      <c r="C208" s="139">
        <f t="shared" si="20"/>
        <v>0.71</v>
      </c>
      <c r="D208" s="139">
        <f t="shared" si="20"/>
        <v>0.80360000000000009</v>
      </c>
      <c r="E208" s="139">
        <f t="shared" si="20"/>
        <v>0.84039999999999992</v>
      </c>
      <c r="F208" s="139">
        <f t="shared" si="20"/>
        <v>0.86719999999999997</v>
      </c>
      <c r="G208" s="139">
        <f t="shared" si="20"/>
        <v>0.88719999999999999</v>
      </c>
      <c r="H208" s="139">
        <f t="shared" si="20"/>
        <v>0.90720000000000001</v>
      </c>
    </row>
    <row r="209" spans="2:8">
      <c r="B209" s="138">
        <f t="shared" si="21"/>
        <v>2.1799999999999975</v>
      </c>
      <c r="C209" s="139">
        <f t="shared" si="20"/>
        <v>0.71</v>
      </c>
      <c r="D209" s="139">
        <f t="shared" si="20"/>
        <v>0.8044</v>
      </c>
      <c r="E209" s="139">
        <f t="shared" si="20"/>
        <v>0.84160000000000001</v>
      </c>
      <c r="F209" s="139">
        <f t="shared" si="20"/>
        <v>0.86880000000000002</v>
      </c>
      <c r="G209" s="139">
        <f t="shared" si="20"/>
        <v>0.88880000000000003</v>
      </c>
      <c r="H209" s="139">
        <f t="shared" si="20"/>
        <v>0.90880000000000005</v>
      </c>
    </row>
    <row r="210" spans="2:8">
      <c r="B210" s="138">
        <f t="shared" si="21"/>
        <v>2.1899999999999973</v>
      </c>
      <c r="C210" s="139">
        <f t="shared" si="20"/>
        <v>0.71</v>
      </c>
      <c r="D210" s="139">
        <f t="shared" si="20"/>
        <v>0.80520000000000003</v>
      </c>
      <c r="E210" s="139">
        <f t="shared" si="20"/>
        <v>0.84279999999999999</v>
      </c>
      <c r="F210" s="139">
        <f t="shared" si="20"/>
        <v>0.87039999999999995</v>
      </c>
      <c r="G210" s="139">
        <f t="shared" si="20"/>
        <v>0.89039999999999997</v>
      </c>
      <c r="H210" s="139">
        <f t="shared" si="20"/>
        <v>0.91039999999999999</v>
      </c>
    </row>
    <row r="211" spans="2:8">
      <c r="B211" s="138">
        <f t="shared" si="21"/>
        <v>2.1999999999999971</v>
      </c>
      <c r="C211" s="139">
        <f t="shared" si="20"/>
        <v>0.71</v>
      </c>
      <c r="D211" s="139">
        <f t="shared" si="20"/>
        <v>0.80600000000000005</v>
      </c>
      <c r="E211" s="139">
        <f t="shared" si="20"/>
        <v>0.84399999999999997</v>
      </c>
      <c r="F211" s="139">
        <f t="shared" si="20"/>
        <v>0.872</v>
      </c>
      <c r="G211" s="139">
        <f t="shared" si="20"/>
        <v>0.89200000000000002</v>
      </c>
      <c r="H211" s="139">
        <f t="shared" si="20"/>
        <v>0.91200000000000003</v>
      </c>
    </row>
    <row r="212" spans="2:8">
      <c r="B212" s="138">
        <f t="shared" si="21"/>
        <v>2.2099999999999969</v>
      </c>
      <c r="C212" s="139">
        <f t="shared" si="20"/>
        <v>0.71</v>
      </c>
      <c r="D212" s="139">
        <f t="shared" si="20"/>
        <v>0.80680000000000007</v>
      </c>
      <c r="E212" s="139">
        <f t="shared" si="20"/>
        <v>0.84519999999999995</v>
      </c>
      <c r="F212" s="139">
        <f t="shared" si="20"/>
        <v>0.87360000000000004</v>
      </c>
      <c r="G212" s="139">
        <f t="shared" si="20"/>
        <v>0.89360000000000006</v>
      </c>
      <c r="H212" s="139">
        <f t="shared" si="20"/>
        <v>0.91360000000000008</v>
      </c>
    </row>
    <row r="213" spans="2:8">
      <c r="B213" s="138">
        <f t="shared" si="21"/>
        <v>2.2199999999999966</v>
      </c>
      <c r="C213" s="139">
        <f t="shared" si="20"/>
        <v>0.71</v>
      </c>
      <c r="D213" s="139">
        <f t="shared" si="20"/>
        <v>0.8076000000000001</v>
      </c>
      <c r="E213" s="139">
        <f t="shared" si="20"/>
        <v>0.84639999999999993</v>
      </c>
      <c r="F213" s="139">
        <f t="shared" si="20"/>
        <v>0.87519999999999998</v>
      </c>
      <c r="G213" s="139">
        <f t="shared" si="20"/>
        <v>0.8952</v>
      </c>
      <c r="H213" s="139">
        <f t="shared" si="20"/>
        <v>0.91520000000000001</v>
      </c>
    </row>
    <row r="214" spans="2:8">
      <c r="B214" s="138">
        <f t="shared" si="21"/>
        <v>2.2299999999999964</v>
      </c>
      <c r="C214" s="139">
        <f t="shared" si="20"/>
        <v>0.71</v>
      </c>
      <c r="D214" s="139">
        <f t="shared" si="20"/>
        <v>0.80840000000000001</v>
      </c>
      <c r="E214" s="139">
        <f t="shared" si="20"/>
        <v>0.84760000000000002</v>
      </c>
      <c r="F214" s="139">
        <f t="shared" si="20"/>
        <v>0.87680000000000002</v>
      </c>
      <c r="G214" s="139">
        <f t="shared" si="20"/>
        <v>0.89680000000000004</v>
      </c>
      <c r="H214" s="139">
        <f t="shared" si="20"/>
        <v>0.91680000000000006</v>
      </c>
    </row>
    <row r="215" spans="2:8">
      <c r="B215" s="138">
        <f t="shared" si="21"/>
        <v>2.2399999999999962</v>
      </c>
      <c r="C215" s="139">
        <f t="shared" si="20"/>
        <v>0.71</v>
      </c>
      <c r="D215" s="139">
        <f t="shared" si="20"/>
        <v>0.80920000000000003</v>
      </c>
      <c r="E215" s="139">
        <f t="shared" si="20"/>
        <v>0.8488</v>
      </c>
      <c r="F215" s="139">
        <f t="shared" si="20"/>
        <v>0.87839999999999996</v>
      </c>
      <c r="G215" s="139">
        <f t="shared" si="20"/>
        <v>0.89839999999999998</v>
      </c>
      <c r="H215" s="139">
        <f t="shared" si="20"/>
        <v>0.91839999999999999</v>
      </c>
    </row>
    <row r="216" spans="2:8">
      <c r="B216" s="134">
        <f t="shared" si="21"/>
        <v>2.249999999999996</v>
      </c>
      <c r="C216" s="141">
        <v>0.71</v>
      </c>
      <c r="D216" s="141">
        <v>0.81</v>
      </c>
      <c r="E216" s="141">
        <v>0.85</v>
      </c>
      <c r="F216" s="141">
        <v>0.88</v>
      </c>
      <c r="G216" s="141">
        <v>0.9</v>
      </c>
      <c r="H216" s="141">
        <v>0.92</v>
      </c>
    </row>
    <row r="217" spans="2:8">
      <c r="B217" s="138">
        <f t="shared" si="21"/>
        <v>2.2599999999999958</v>
      </c>
      <c r="C217" s="139">
        <f t="shared" ref="C217:H217" si="22">C$216+(C$241-C$216)*($B217-$B$216)/($B$241-$B$216)</f>
        <v>0.71</v>
      </c>
      <c r="D217" s="139">
        <f t="shared" si="22"/>
        <v>0.81040000000000001</v>
      </c>
      <c r="E217" s="139">
        <f t="shared" si="22"/>
        <v>0.85119999999999996</v>
      </c>
      <c r="F217" s="139">
        <f t="shared" si="22"/>
        <v>0.88119999999999998</v>
      </c>
      <c r="G217" s="139">
        <f t="shared" si="22"/>
        <v>0.9012</v>
      </c>
      <c r="H217" s="139">
        <f t="shared" si="22"/>
        <v>0.92120000000000002</v>
      </c>
    </row>
    <row r="218" spans="2:8">
      <c r="B218" s="138">
        <f t="shared" si="21"/>
        <v>2.2699999999999956</v>
      </c>
      <c r="C218" s="139">
        <f t="shared" ref="C218:H240" si="23">C$216+(C$241-C$216)*($B218-$B$216)/($B$241-$B$216)</f>
        <v>0.71</v>
      </c>
      <c r="D218" s="139">
        <f t="shared" si="23"/>
        <v>0.81080000000000008</v>
      </c>
      <c r="E218" s="139">
        <f t="shared" si="23"/>
        <v>0.85239999999999994</v>
      </c>
      <c r="F218" s="139">
        <f t="shared" si="23"/>
        <v>0.88239999999999996</v>
      </c>
      <c r="G218" s="139">
        <f t="shared" si="23"/>
        <v>0.90239999999999998</v>
      </c>
      <c r="H218" s="139">
        <f t="shared" si="23"/>
        <v>0.9224</v>
      </c>
    </row>
    <row r="219" spans="2:8">
      <c r="B219" s="138">
        <f t="shared" si="21"/>
        <v>2.2799999999999954</v>
      </c>
      <c r="C219" s="139">
        <f t="shared" si="23"/>
        <v>0.71</v>
      </c>
      <c r="D219" s="139">
        <f t="shared" si="23"/>
        <v>0.81120000000000003</v>
      </c>
      <c r="E219" s="139">
        <f t="shared" si="23"/>
        <v>0.85360000000000003</v>
      </c>
      <c r="F219" s="139">
        <f t="shared" si="23"/>
        <v>0.88360000000000005</v>
      </c>
      <c r="G219" s="139">
        <f t="shared" si="23"/>
        <v>0.90360000000000007</v>
      </c>
      <c r="H219" s="139">
        <f t="shared" si="23"/>
        <v>0.92359999999999998</v>
      </c>
    </row>
    <row r="220" spans="2:8">
      <c r="B220" s="138">
        <f t="shared" si="21"/>
        <v>2.2899999999999952</v>
      </c>
      <c r="C220" s="139">
        <f t="shared" si="23"/>
        <v>0.71</v>
      </c>
      <c r="D220" s="139">
        <f t="shared" si="23"/>
        <v>0.81159999999999999</v>
      </c>
      <c r="E220" s="139">
        <f t="shared" si="23"/>
        <v>0.8548</v>
      </c>
      <c r="F220" s="139">
        <f t="shared" si="23"/>
        <v>0.88480000000000003</v>
      </c>
      <c r="G220" s="139">
        <f t="shared" si="23"/>
        <v>0.90480000000000005</v>
      </c>
      <c r="H220" s="139">
        <f t="shared" si="23"/>
        <v>0.92480000000000007</v>
      </c>
    </row>
    <row r="221" spans="2:8">
      <c r="B221" s="138">
        <f t="shared" si="21"/>
        <v>2.2999999999999949</v>
      </c>
      <c r="C221" s="139">
        <f t="shared" si="23"/>
        <v>0.71</v>
      </c>
      <c r="D221" s="139">
        <f t="shared" si="23"/>
        <v>0.81200000000000006</v>
      </c>
      <c r="E221" s="139">
        <f t="shared" si="23"/>
        <v>0.85599999999999998</v>
      </c>
      <c r="F221" s="139">
        <f t="shared" si="23"/>
        <v>0.88600000000000001</v>
      </c>
      <c r="G221" s="139">
        <f t="shared" si="23"/>
        <v>0.90600000000000003</v>
      </c>
      <c r="H221" s="139">
        <f t="shared" si="23"/>
        <v>0.92600000000000005</v>
      </c>
    </row>
    <row r="222" spans="2:8">
      <c r="B222" s="138">
        <f t="shared" si="21"/>
        <v>2.3099999999999947</v>
      </c>
      <c r="C222" s="139">
        <f t="shared" si="23"/>
        <v>0.71</v>
      </c>
      <c r="D222" s="139">
        <f t="shared" si="23"/>
        <v>0.81240000000000001</v>
      </c>
      <c r="E222" s="139">
        <f t="shared" si="23"/>
        <v>0.85719999999999996</v>
      </c>
      <c r="F222" s="139">
        <f t="shared" si="23"/>
        <v>0.88719999999999999</v>
      </c>
      <c r="G222" s="139">
        <f t="shared" si="23"/>
        <v>0.90720000000000001</v>
      </c>
      <c r="H222" s="139">
        <f t="shared" si="23"/>
        <v>0.92720000000000002</v>
      </c>
    </row>
    <row r="223" spans="2:8">
      <c r="B223" s="138">
        <f t="shared" si="21"/>
        <v>2.3199999999999945</v>
      </c>
      <c r="C223" s="139">
        <f t="shared" si="23"/>
        <v>0.71</v>
      </c>
      <c r="D223" s="139">
        <f t="shared" si="23"/>
        <v>0.81280000000000008</v>
      </c>
      <c r="E223" s="139">
        <f t="shared" si="23"/>
        <v>0.85839999999999994</v>
      </c>
      <c r="F223" s="139">
        <f t="shared" si="23"/>
        <v>0.88839999999999997</v>
      </c>
      <c r="G223" s="139">
        <f t="shared" si="23"/>
        <v>0.90839999999999999</v>
      </c>
      <c r="H223" s="139">
        <f t="shared" si="23"/>
        <v>0.9284</v>
      </c>
    </row>
    <row r="224" spans="2:8">
      <c r="B224" s="138">
        <f t="shared" si="21"/>
        <v>2.3299999999999943</v>
      </c>
      <c r="C224" s="139">
        <f t="shared" si="23"/>
        <v>0.71</v>
      </c>
      <c r="D224" s="139">
        <f t="shared" si="23"/>
        <v>0.81320000000000003</v>
      </c>
      <c r="E224" s="139">
        <f t="shared" si="23"/>
        <v>0.85960000000000003</v>
      </c>
      <c r="F224" s="139">
        <f t="shared" si="23"/>
        <v>0.88960000000000006</v>
      </c>
      <c r="G224" s="139">
        <f t="shared" si="23"/>
        <v>0.90960000000000008</v>
      </c>
      <c r="H224" s="139">
        <f t="shared" si="23"/>
        <v>0.92959999999999998</v>
      </c>
    </row>
    <row r="225" spans="2:8">
      <c r="B225" s="138">
        <f t="shared" si="21"/>
        <v>2.3399999999999941</v>
      </c>
      <c r="C225" s="139">
        <f t="shared" si="23"/>
        <v>0.71</v>
      </c>
      <c r="D225" s="139">
        <f t="shared" si="23"/>
        <v>0.81359999999999999</v>
      </c>
      <c r="E225" s="139">
        <f t="shared" si="23"/>
        <v>0.86080000000000001</v>
      </c>
      <c r="F225" s="139">
        <f t="shared" si="23"/>
        <v>0.89080000000000004</v>
      </c>
      <c r="G225" s="139">
        <f t="shared" si="23"/>
        <v>0.91080000000000005</v>
      </c>
      <c r="H225" s="139">
        <f t="shared" si="23"/>
        <v>0.93079999999999996</v>
      </c>
    </row>
    <row r="226" spans="2:8">
      <c r="B226" s="138">
        <f t="shared" si="21"/>
        <v>2.3499999999999939</v>
      </c>
      <c r="C226" s="139">
        <f t="shared" si="23"/>
        <v>0.71</v>
      </c>
      <c r="D226" s="139">
        <f t="shared" si="23"/>
        <v>0.81400000000000006</v>
      </c>
      <c r="E226" s="139">
        <f t="shared" si="23"/>
        <v>0.86199999999999999</v>
      </c>
      <c r="F226" s="139">
        <f t="shared" si="23"/>
        <v>0.89200000000000002</v>
      </c>
      <c r="G226" s="139">
        <f t="shared" si="23"/>
        <v>0.91200000000000003</v>
      </c>
      <c r="H226" s="139">
        <f t="shared" si="23"/>
        <v>0.93200000000000005</v>
      </c>
    </row>
    <row r="227" spans="2:8">
      <c r="B227" s="138">
        <f t="shared" si="21"/>
        <v>2.3599999999999937</v>
      </c>
      <c r="C227" s="139">
        <f t="shared" si="23"/>
        <v>0.71</v>
      </c>
      <c r="D227" s="139">
        <f t="shared" si="23"/>
        <v>0.81440000000000001</v>
      </c>
      <c r="E227" s="139">
        <f t="shared" si="23"/>
        <v>0.86319999999999997</v>
      </c>
      <c r="F227" s="139">
        <f t="shared" si="23"/>
        <v>0.89319999999999999</v>
      </c>
      <c r="G227" s="139">
        <f t="shared" si="23"/>
        <v>0.91320000000000001</v>
      </c>
      <c r="H227" s="139">
        <f t="shared" si="23"/>
        <v>0.93320000000000003</v>
      </c>
    </row>
    <row r="228" spans="2:8">
      <c r="B228" s="138">
        <f t="shared" si="21"/>
        <v>2.3699999999999934</v>
      </c>
      <c r="C228" s="139">
        <f t="shared" si="23"/>
        <v>0.71</v>
      </c>
      <c r="D228" s="139">
        <f t="shared" si="23"/>
        <v>0.81479999999999997</v>
      </c>
      <c r="E228" s="139">
        <f t="shared" si="23"/>
        <v>0.86439999999999995</v>
      </c>
      <c r="F228" s="139">
        <f t="shared" si="23"/>
        <v>0.89439999999999997</v>
      </c>
      <c r="G228" s="139">
        <f t="shared" si="23"/>
        <v>0.91439999999999999</v>
      </c>
      <c r="H228" s="139">
        <f t="shared" si="23"/>
        <v>0.93440000000000001</v>
      </c>
    </row>
    <row r="229" spans="2:8">
      <c r="B229" s="138">
        <f t="shared" si="21"/>
        <v>2.3799999999999932</v>
      </c>
      <c r="C229" s="139">
        <f t="shared" si="23"/>
        <v>0.71</v>
      </c>
      <c r="D229" s="139">
        <f t="shared" si="23"/>
        <v>0.81520000000000004</v>
      </c>
      <c r="E229" s="139">
        <f t="shared" si="23"/>
        <v>0.86560000000000004</v>
      </c>
      <c r="F229" s="139">
        <f t="shared" si="23"/>
        <v>0.89560000000000006</v>
      </c>
      <c r="G229" s="139">
        <f t="shared" si="23"/>
        <v>0.91560000000000008</v>
      </c>
      <c r="H229" s="139">
        <f t="shared" si="23"/>
        <v>0.93559999999999999</v>
      </c>
    </row>
    <row r="230" spans="2:8">
      <c r="B230" s="138">
        <f t="shared" si="21"/>
        <v>2.389999999999993</v>
      </c>
      <c r="C230" s="139">
        <f t="shared" si="23"/>
        <v>0.71</v>
      </c>
      <c r="D230" s="139">
        <f t="shared" si="23"/>
        <v>0.81559999999999999</v>
      </c>
      <c r="E230" s="139">
        <f t="shared" si="23"/>
        <v>0.86680000000000001</v>
      </c>
      <c r="F230" s="139">
        <f t="shared" si="23"/>
        <v>0.89680000000000004</v>
      </c>
      <c r="G230" s="139">
        <f t="shared" si="23"/>
        <v>0.91680000000000006</v>
      </c>
      <c r="H230" s="139">
        <f t="shared" si="23"/>
        <v>0.93679999999999997</v>
      </c>
    </row>
    <row r="231" spans="2:8">
      <c r="B231" s="138">
        <f t="shared" si="21"/>
        <v>2.3999999999999928</v>
      </c>
      <c r="C231" s="139">
        <f t="shared" si="23"/>
        <v>0.71</v>
      </c>
      <c r="D231" s="139">
        <f t="shared" si="23"/>
        <v>0.81599999999999995</v>
      </c>
      <c r="E231" s="139">
        <f t="shared" si="23"/>
        <v>0.86799999999999999</v>
      </c>
      <c r="F231" s="139">
        <f t="shared" si="23"/>
        <v>0.89800000000000002</v>
      </c>
      <c r="G231" s="139">
        <f t="shared" si="23"/>
        <v>0.91800000000000004</v>
      </c>
      <c r="H231" s="139">
        <f t="shared" si="23"/>
        <v>0.93799999999999994</v>
      </c>
    </row>
    <row r="232" spans="2:8">
      <c r="B232" s="138">
        <f t="shared" si="21"/>
        <v>2.4099999999999926</v>
      </c>
      <c r="C232" s="139">
        <f t="shared" si="23"/>
        <v>0.71</v>
      </c>
      <c r="D232" s="139">
        <f t="shared" si="23"/>
        <v>0.81640000000000001</v>
      </c>
      <c r="E232" s="139">
        <f t="shared" si="23"/>
        <v>0.86919999999999997</v>
      </c>
      <c r="F232" s="139">
        <f t="shared" si="23"/>
        <v>0.8992</v>
      </c>
      <c r="G232" s="139">
        <f t="shared" si="23"/>
        <v>0.91920000000000002</v>
      </c>
      <c r="H232" s="139">
        <f t="shared" si="23"/>
        <v>0.93920000000000003</v>
      </c>
    </row>
    <row r="233" spans="2:8">
      <c r="B233" s="138">
        <f t="shared" si="21"/>
        <v>2.4199999999999924</v>
      </c>
      <c r="C233" s="139">
        <f t="shared" si="23"/>
        <v>0.71</v>
      </c>
      <c r="D233" s="139">
        <f t="shared" si="23"/>
        <v>0.81679999999999997</v>
      </c>
      <c r="E233" s="139">
        <f t="shared" si="23"/>
        <v>0.87039999999999995</v>
      </c>
      <c r="F233" s="139">
        <f t="shared" si="23"/>
        <v>0.90039999999999998</v>
      </c>
      <c r="G233" s="139">
        <f t="shared" si="23"/>
        <v>0.9204</v>
      </c>
      <c r="H233" s="139">
        <f t="shared" si="23"/>
        <v>0.94040000000000001</v>
      </c>
    </row>
    <row r="234" spans="2:8">
      <c r="B234" s="138">
        <f t="shared" si="21"/>
        <v>2.4299999999999922</v>
      </c>
      <c r="C234" s="139">
        <f t="shared" si="23"/>
        <v>0.71</v>
      </c>
      <c r="D234" s="139">
        <f t="shared" si="23"/>
        <v>0.81719999999999993</v>
      </c>
      <c r="E234" s="139">
        <f t="shared" si="23"/>
        <v>0.87160000000000004</v>
      </c>
      <c r="F234" s="139">
        <f t="shared" si="23"/>
        <v>0.90160000000000007</v>
      </c>
      <c r="G234" s="139">
        <f t="shared" si="23"/>
        <v>0.92160000000000009</v>
      </c>
      <c r="H234" s="139">
        <f t="shared" si="23"/>
        <v>0.94159999999999999</v>
      </c>
    </row>
    <row r="235" spans="2:8">
      <c r="B235" s="138">
        <f t="shared" si="21"/>
        <v>2.439999999999992</v>
      </c>
      <c r="C235" s="139">
        <f t="shared" si="23"/>
        <v>0.71</v>
      </c>
      <c r="D235" s="139">
        <f t="shared" si="23"/>
        <v>0.81759999999999999</v>
      </c>
      <c r="E235" s="139">
        <f t="shared" si="23"/>
        <v>0.87280000000000002</v>
      </c>
      <c r="F235" s="139">
        <f t="shared" si="23"/>
        <v>0.90280000000000005</v>
      </c>
      <c r="G235" s="139">
        <f t="shared" si="23"/>
        <v>0.92280000000000006</v>
      </c>
      <c r="H235" s="139">
        <f t="shared" si="23"/>
        <v>0.94279999999999997</v>
      </c>
    </row>
    <row r="236" spans="2:8">
      <c r="B236" s="138">
        <f t="shared" si="21"/>
        <v>2.4499999999999917</v>
      </c>
      <c r="C236" s="139">
        <f t="shared" si="23"/>
        <v>0.71</v>
      </c>
      <c r="D236" s="139">
        <f t="shared" si="23"/>
        <v>0.81799999999999995</v>
      </c>
      <c r="E236" s="139">
        <f t="shared" si="23"/>
        <v>0.874</v>
      </c>
      <c r="F236" s="139">
        <f t="shared" si="23"/>
        <v>0.90400000000000003</v>
      </c>
      <c r="G236" s="139">
        <f t="shared" si="23"/>
        <v>0.92400000000000004</v>
      </c>
      <c r="H236" s="139">
        <f t="shared" si="23"/>
        <v>0.94399999999999995</v>
      </c>
    </row>
    <row r="237" spans="2:8">
      <c r="B237" s="138">
        <f t="shared" si="21"/>
        <v>2.4599999999999915</v>
      </c>
      <c r="C237" s="139">
        <f t="shared" si="23"/>
        <v>0.71</v>
      </c>
      <c r="D237" s="139">
        <f t="shared" si="23"/>
        <v>0.81840000000000002</v>
      </c>
      <c r="E237" s="139">
        <f t="shared" si="23"/>
        <v>0.87519999999999998</v>
      </c>
      <c r="F237" s="139">
        <f t="shared" si="23"/>
        <v>0.9052</v>
      </c>
      <c r="G237" s="139">
        <f t="shared" si="23"/>
        <v>0.92520000000000002</v>
      </c>
      <c r="H237" s="139">
        <f t="shared" si="23"/>
        <v>0.94519999999999993</v>
      </c>
    </row>
    <row r="238" spans="2:8">
      <c r="B238" s="138">
        <f t="shared" si="21"/>
        <v>2.4699999999999913</v>
      </c>
      <c r="C238" s="139">
        <f t="shared" si="23"/>
        <v>0.71</v>
      </c>
      <c r="D238" s="139">
        <f t="shared" si="23"/>
        <v>0.81879999999999997</v>
      </c>
      <c r="E238" s="139">
        <f t="shared" si="23"/>
        <v>0.87639999999999996</v>
      </c>
      <c r="F238" s="139">
        <f t="shared" si="23"/>
        <v>0.90639999999999998</v>
      </c>
      <c r="G238" s="139">
        <f t="shared" si="23"/>
        <v>0.9264</v>
      </c>
      <c r="H238" s="139">
        <f t="shared" si="23"/>
        <v>0.94639999999999991</v>
      </c>
    </row>
    <row r="239" spans="2:8">
      <c r="B239" s="138">
        <f t="shared" si="21"/>
        <v>2.4799999999999911</v>
      </c>
      <c r="C239" s="139">
        <f t="shared" si="23"/>
        <v>0.71</v>
      </c>
      <c r="D239" s="139">
        <f t="shared" si="23"/>
        <v>0.81919999999999993</v>
      </c>
      <c r="E239" s="139">
        <f t="shared" si="23"/>
        <v>0.87760000000000005</v>
      </c>
      <c r="F239" s="139">
        <f t="shared" si="23"/>
        <v>0.90760000000000007</v>
      </c>
      <c r="G239" s="139">
        <f t="shared" si="23"/>
        <v>0.92760000000000009</v>
      </c>
      <c r="H239" s="139">
        <f t="shared" si="23"/>
        <v>0.9476</v>
      </c>
    </row>
    <row r="240" spans="2:8">
      <c r="B240" s="138">
        <f t="shared" si="21"/>
        <v>2.4899999999999909</v>
      </c>
      <c r="C240" s="143">
        <f t="shared" si="23"/>
        <v>0.71</v>
      </c>
      <c r="D240" s="143">
        <f t="shared" si="23"/>
        <v>0.8196</v>
      </c>
      <c r="E240" s="143">
        <f t="shared" si="23"/>
        <v>0.87880000000000003</v>
      </c>
      <c r="F240" s="143">
        <f t="shared" si="23"/>
        <v>0.90880000000000005</v>
      </c>
      <c r="G240" s="143">
        <f t="shared" si="23"/>
        <v>0.92880000000000007</v>
      </c>
      <c r="H240" s="143">
        <f t="shared" si="23"/>
        <v>0.94879999999999998</v>
      </c>
    </row>
    <row r="241" spans="2:8">
      <c r="B241" s="134">
        <f t="shared" si="21"/>
        <v>2.4999999999999907</v>
      </c>
      <c r="C241" s="141">
        <v>0.71</v>
      </c>
      <c r="D241" s="141">
        <v>0.82</v>
      </c>
      <c r="E241" s="141">
        <v>0.88</v>
      </c>
      <c r="F241" s="141">
        <v>0.91</v>
      </c>
      <c r="G241" s="141">
        <v>0.93</v>
      </c>
      <c r="H241" s="141">
        <v>0.95</v>
      </c>
    </row>
    <row r="242" spans="2:8">
      <c r="B242" s="138">
        <f t="shared" si="21"/>
        <v>2.5099999999999905</v>
      </c>
      <c r="C242" s="142">
        <f t="shared" ref="C242:H242" si="24">C$241+(C$266-C$241)*($B242-$B$241)/($B$266-$B$241)</f>
        <v>0.71</v>
      </c>
      <c r="D242" s="142">
        <f t="shared" si="24"/>
        <v>0.82</v>
      </c>
      <c r="E242" s="142">
        <f t="shared" si="24"/>
        <v>0.88080000000000003</v>
      </c>
      <c r="F242" s="142">
        <f t="shared" si="24"/>
        <v>0.91120000000000001</v>
      </c>
      <c r="G242" s="142">
        <f t="shared" si="24"/>
        <v>0.93120000000000003</v>
      </c>
      <c r="H242" s="142">
        <f t="shared" si="24"/>
        <v>0.95119999999999993</v>
      </c>
    </row>
    <row r="243" spans="2:8">
      <c r="B243" s="138">
        <f t="shared" si="21"/>
        <v>2.5199999999999902</v>
      </c>
      <c r="C243" s="139">
        <f t="shared" ref="C243:H265" si="25">C$241+(C$266-C$241)*($B243-$B$241)/($B$266-$B$241)</f>
        <v>0.71</v>
      </c>
      <c r="D243" s="139">
        <f t="shared" si="25"/>
        <v>0.82</v>
      </c>
      <c r="E243" s="139">
        <f t="shared" si="25"/>
        <v>0.88160000000000005</v>
      </c>
      <c r="F243" s="139">
        <f t="shared" si="25"/>
        <v>0.91239999999999999</v>
      </c>
      <c r="G243" s="139">
        <f t="shared" si="25"/>
        <v>0.93240000000000001</v>
      </c>
      <c r="H243" s="139">
        <f t="shared" si="25"/>
        <v>0.95239999999999991</v>
      </c>
    </row>
    <row r="244" spans="2:8">
      <c r="B244" s="138">
        <f t="shared" si="21"/>
        <v>2.52999999999999</v>
      </c>
      <c r="C244" s="139">
        <f t="shared" si="25"/>
        <v>0.71</v>
      </c>
      <c r="D244" s="139">
        <f t="shared" si="25"/>
        <v>0.82</v>
      </c>
      <c r="E244" s="139">
        <f t="shared" si="25"/>
        <v>0.88239999999999996</v>
      </c>
      <c r="F244" s="139">
        <f t="shared" si="25"/>
        <v>0.91359999999999997</v>
      </c>
      <c r="G244" s="139">
        <f t="shared" si="25"/>
        <v>0.93359999999999999</v>
      </c>
      <c r="H244" s="139">
        <f t="shared" si="25"/>
        <v>0.9536</v>
      </c>
    </row>
    <row r="245" spans="2:8">
      <c r="B245" s="138">
        <f t="shared" si="21"/>
        <v>2.5399999999999898</v>
      </c>
      <c r="C245" s="139">
        <f t="shared" si="25"/>
        <v>0.71</v>
      </c>
      <c r="D245" s="139">
        <f t="shared" si="25"/>
        <v>0.82</v>
      </c>
      <c r="E245" s="139">
        <f t="shared" si="25"/>
        <v>0.88319999999999999</v>
      </c>
      <c r="F245" s="139">
        <f t="shared" si="25"/>
        <v>0.91480000000000006</v>
      </c>
      <c r="G245" s="139">
        <f t="shared" si="25"/>
        <v>0.93480000000000008</v>
      </c>
      <c r="H245" s="139">
        <f t="shared" si="25"/>
        <v>0.95479999999999998</v>
      </c>
    </row>
    <row r="246" spans="2:8">
      <c r="B246" s="138">
        <f t="shared" si="21"/>
        <v>2.5499999999999896</v>
      </c>
      <c r="C246" s="139">
        <f t="shared" si="25"/>
        <v>0.71</v>
      </c>
      <c r="D246" s="139">
        <f t="shared" si="25"/>
        <v>0.82</v>
      </c>
      <c r="E246" s="139">
        <f t="shared" si="25"/>
        <v>0.88400000000000001</v>
      </c>
      <c r="F246" s="139">
        <f t="shared" si="25"/>
        <v>0.91600000000000004</v>
      </c>
      <c r="G246" s="139">
        <f t="shared" si="25"/>
        <v>0.93600000000000005</v>
      </c>
      <c r="H246" s="139">
        <f t="shared" si="25"/>
        <v>0.95599999999999996</v>
      </c>
    </row>
    <row r="247" spans="2:8">
      <c r="B247" s="138">
        <f t="shared" si="21"/>
        <v>2.5599999999999894</v>
      </c>
      <c r="C247" s="139">
        <f t="shared" si="25"/>
        <v>0.71</v>
      </c>
      <c r="D247" s="139">
        <f t="shared" si="25"/>
        <v>0.82</v>
      </c>
      <c r="E247" s="139">
        <f t="shared" si="25"/>
        <v>0.88480000000000003</v>
      </c>
      <c r="F247" s="139">
        <f t="shared" si="25"/>
        <v>0.91720000000000002</v>
      </c>
      <c r="G247" s="139">
        <f t="shared" si="25"/>
        <v>0.93720000000000003</v>
      </c>
      <c r="H247" s="139">
        <f t="shared" si="25"/>
        <v>0.95719999999999994</v>
      </c>
    </row>
    <row r="248" spans="2:8">
      <c r="B248" s="138">
        <f t="shared" si="21"/>
        <v>2.5699999999999892</v>
      </c>
      <c r="C248" s="139">
        <f t="shared" si="25"/>
        <v>0.71</v>
      </c>
      <c r="D248" s="139">
        <f t="shared" si="25"/>
        <v>0.82</v>
      </c>
      <c r="E248" s="139">
        <f t="shared" si="25"/>
        <v>0.88560000000000005</v>
      </c>
      <c r="F248" s="139">
        <f t="shared" si="25"/>
        <v>0.91839999999999999</v>
      </c>
      <c r="G248" s="139">
        <f t="shared" si="25"/>
        <v>0.93840000000000001</v>
      </c>
      <c r="H248" s="139">
        <f t="shared" si="25"/>
        <v>0.95839999999999992</v>
      </c>
    </row>
    <row r="249" spans="2:8">
      <c r="B249" s="138">
        <f t="shared" si="21"/>
        <v>2.579999999999989</v>
      </c>
      <c r="C249" s="139">
        <f t="shared" si="25"/>
        <v>0.71</v>
      </c>
      <c r="D249" s="139">
        <f t="shared" si="25"/>
        <v>0.82</v>
      </c>
      <c r="E249" s="139">
        <f t="shared" si="25"/>
        <v>0.88639999999999997</v>
      </c>
      <c r="F249" s="139">
        <f t="shared" si="25"/>
        <v>0.91959999999999997</v>
      </c>
      <c r="G249" s="139">
        <f t="shared" si="25"/>
        <v>0.93959999999999999</v>
      </c>
      <c r="H249" s="139">
        <f t="shared" si="25"/>
        <v>0.95960000000000001</v>
      </c>
    </row>
    <row r="250" spans="2:8">
      <c r="B250" s="138">
        <f t="shared" si="21"/>
        <v>2.5899999999999888</v>
      </c>
      <c r="C250" s="139">
        <f t="shared" si="25"/>
        <v>0.71</v>
      </c>
      <c r="D250" s="139">
        <f t="shared" si="25"/>
        <v>0.82</v>
      </c>
      <c r="E250" s="139">
        <f t="shared" si="25"/>
        <v>0.88719999999999999</v>
      </c>
      <c r="F250" s="139">
        <f t="shared" si="25"/>
        <v>0.92079999999999995</v>
      </c>
      <c r="G250" s="139">
        <f t="shared" si="25"/>
        <v>0.94079999999999997</v>
      </c>
      <c r="H250" s="139">
        <f t="shared" si="25"/>
        <v>0.96079999999999999</v>
      </c>
    </row>
    <row r="251" spans="2:8">
      <c r="B251" s="138">
        <f t="shared" si="21"/>
        <v>2.5999999999999885</v>
      </c>
      <c r="C251" s="139">
        <f t="shared" si="25"/>
        <v>0.71</v>
      </c>
      <c r="D251" s="139">
        <f t="shared" si="25"/>
        <v>0.82</v>
      </c>
      <c r="E251" s="139">
        <f t="shared" si="25"/>
        <v>0.88800000000000001</v>
      </c>
      <c r="F251" s="139">
        <f t="shared" si="25"/>
        <v>0.92200000000000004</v>
      </c>
      <c r="G251" s="139">
        <f t="shared" si="25"/>
        <v>0.94200000000000006</v>
      </c>
      <c r="H251" s="139">
        <f t="shared" si="25"/>
        <v>0.96199999999999997</v>
      </c>
    </row>
    <row r="252" spans="2:8">
      <c r="B252" s="138">
        <f t="shared" si="21"/>
        <v>2.6099999999999883</v>
      </c>
      <c r="C252" s="139">
        <f t="shared" si="25"/>
        <v>0.71</v>
      </c>
      <c r="D252" s="139">
        <f t="shared" si="25"/>
        <v>0.82</v>
      </c>
      <c r="E252" s="139">
        <f t="shared" si="25"/>
        <v>0.88880000000000003</v>
      </c>
      <c r="F252" s="139">
        <f t="shared" si="25"/>
        <v>0.92320000000000002</v>
      </c>
      <c r="G252" s="139">
        <f t="shared" si="25"/>
        <v>0.94320000000000004</v>
      </c>
      <c r="H252" s="139">
        <f t="shared" si="25"/>
        <v>0.96319999999999995</v>
      </c>
    </row>
    <row r="253" spans="2:8">
      <c r="B253" s="138">
        <f t="shared" si="21"/>
        <v>2.6199999999999881</v>
      </c>
      <c r="C253" s="139">
        <f t="shared" si="25"/>
        <v>0.71</v>
      </c>
      <c r="D253" s="139">
        <f t="shared" si="25"/>
        <v>0.82</v>
      </c>
      <c r="E253" s="139">
        <f t="shared" si="25"/>
        <v>0.88960000000000006</v>
      </c>
      <c r="F253" s="139">
        <f t="shared" si="25"/>
        <v>0.9244</v>
      </c>
      <c r="G253" s="139">
        <f t="shared" si="25"/>
        <v>0.94440000000000002</v>
      </c>
      <c r="H253" s="139">
        <f t="shared" si="25"/>
        <v>0.96439999999999992</v>
      </c>
    </row>
    <row r="254" spans="2:8">
      <c r="B254" s="138">
        <f t="shared" si="21"/>
        <v>2.6299999999999879</v>
      </c>
      <c r="C254" s="139">
        <f t="shared" si="25"/>
        <v>0.71</v>
      </c>
      <c r="D254" s="139">
        <f t="shared" si="25"/>
        <v>0.82</v>
      </c>
      <c r="E254" s="139">
        <f t="shared" si="25"/>
        <v>0.89039999999999997</v>
      </c>
      <c r="F254" s="139">
        <f t="shared" si="25"/>
        <v>0.92559999999999998</v>
      </c>
      <c r="G254" s="139">
        <f t="shared" si="25"/>
        <v>0.9456</v>
      </c>
      <c r="H254" s="139">
        <f t="shared" si="25"/>
        <v>0.96560000000000001</v>
      </c>
    </row>
    <row r="255" spans="2:8">
      <c r="B255" s="138">
        <f t="shared" si="21"/>
        <v>2.6399999999999877</v>
      </c>
      <c r="C255" s="139">
        <f t="shared" si="25"/>
        <v>0.71</v>
      </c>
      <c r="D255" s="139">
        <f t="shared" si="25"/>
        <v>0.82</v>
      </c>
      <c r="E255" s="139">
        <f t="shared" si="25"/>
        <v>0.89119999999999999</v>
      </c>
      <c r="F255" s="139">
        <f t="shared" si="25"/>
        <v>0.92679999999999996</v>
      </c>
      <c r="G255" s="139">
        <f t="shared" si="25"/>
        <v>0.94679999999999997</v>
      </c>
      <c r="H255" s="139">
        <f t="shared" si="25"/>
        <v>0.96679999999999999</v>
      </c>
    </row>
    <row r="256" spans="2:8">
      <c r="B256" s="138">
        <f t="shared" si="21"/>
        <v>2.6499999999999875</v>
      </c>
      <c r="C256" s="139">
        <f t="shared" si="25"/>
        <v>0.71</v>
      </c>
      <c r="D256" s="139">
        <f t="shared" si="25"/>
        <v>0.82</v>
      </c>
      <c r="E256" s="139">
        <f t="shared" si="25"/>
        <v>0.89200000000000002</v>
      </c>
      <c r="F256" s="139">
        <f t="shared" si="25"/>
        <v>0.92799999999999994</v>
      </c>
      <c r="G256" s="139">
        <f t="shared" si="25"/>
        <v>0.94799999999999995</v>
      </c>
      <c r="H256" s="139">
        <f t="shared" si="25"/>
        <v>0.96799999999999997</v>
      </c>
    </row>
    <row r="257" spans="2:8">
      <c r="B257" s="138">
        <f t="shared" si="21"/>
        <v>2.6599999999999873</v>
      </c>
      <c r="C257" s="139">
        <f t="shared" si="25"/>
        <v>0.71</v>
      </c>
      <c r="D257" s="139">
        <f t="shared" si="25"/>
        <v>0.82</v>
      </c>
      <c r="E257" s="139">
        <f t="shared" si="25"/>
        <v>0.89280000000000004</v>
      </c>
      <c r="F257" s="139">
        <f t="shared" si="25"/>
        <v>0.92920000000000003</v>
      </c>
      <c r="G257" s="139">
        <f t="shared" si="25"/>
        <v>0.94920000000000004</v>
      </c>
      <c r="H257" s="139">
        <f t="shared" si="25"/>
        <v>0.96919999999999995</v>
      </c>
    </row>
    <row r="258" spans="2:8">
      <c r="B258" s="138">
        <f t="shared" si="21"/>
        <v>2.6699999999999871</v>
      </c>
      <c r="C258" s="139">
        <f t="shared" si="25"/>
        <v>0.71</v>
      </c>
      <c r="D258" s="139">
        <f t="shared" si="25"/>
        <v>0.82</v>
      </c>
      <c r="E258" s="139">
        <f t="shared" si="25"/>
        <v>0.89360000000000006</v>
      </c>
      <c r="F258" s="139">
        <f t="shared" si="25"/>
        <v>0.9304</v>
      </c>
      <c r="G258" s="139">
        <f t="shared" si="25"/>
        <v>0.95040000000000002</v>
      </c>
      <c r="H258" s="139">
        <f t="shared" si="25"/>
        <v>0.97039999999999993</v>
      </c>
    </row>
    <row r="259" spans="2:8">
      <c r="B259" s="138">
        <f t="shared" si="21"/>
        <v>2.6799999999999868</v>
      </c>
      <c r="C259" s="139">
        <f t="shared" si="25"/>
        <v>0.71</v>
      </c>
      <c r="D259" s="139">
        <f t="shared" si="25"/>
        <v>0.82</v>
      </c>
      <c r="E259" s="139">
        <f t="shared" si="25"/>
        <v>0.89439999999999997</v>
      </c>
      <c r="F259" s="139">
        <f t="shared" si="25"/>
        <v>0.93159999999999998</v>
      </c>
      <c r="G259" s="139">
        <f t="shared" si="25"/>
        <v>0.9516</v>
      </c>
      <c r="H259" s="139">
        <f t="shared" si="25"/>
        <v>0.97160000000000002</v>
      </c>
    </row>
    <row r="260" spans="2:8">
      <c r="B260" s="138">
        <f t="shared" si="21"/>
        <v>2.6899999999999866</v>
      </c>
      <c r="C260" s="139">
        <f t="shared" si="25"/>
        <v>0.71</v>
      </c>
      <c r="D260" s="139">
        <f t="shared" si="25"/>
        <v>0.82</v>
      </c>
      <c r="E260" s="139">
        <f t="shared" si="25"/>
        <v>0.8952</v>
      </c>
      <c r="F260" s="139">
        <f t="shared" si="25"/>
        <v>0.93279999999999996</v>
      </c>
      <c r="G260" s="139">
        <f t="shared" si="25"/>
        <v>0.95279999999999998</v>
      </c>
      <c r="H260" s="139">
        <f t="shared" si="25"/>
        <v>0.9728</v>
      </c>
    </row>
    <row r="261" spans="2:8">
      <c r="B261" s="138">
        <f t="shared" si="21"/>
        <v>2.6999999999999864</v>
      </c>
      <c r="C261" s="139">
        <f t="shared" si="25"/>
        <v>0.71</v>
      </c>
      <c r="D261" s="139">
        <f t="shared" si="25"/>
        <v>0.82</v>
      </c>
      <c r="E261" s="139">
        <f t="shared" si="25"/>
        <v>0.89600000000000002</v>
      </c>
      <c r="F261" s="139">
        <f t="shared" si="25"/>
        <v>0.93399999999999994</v>
      </c>
      <c r="G261" s="139">
        <f t="shared" si="25"/>
        <v>0.95399999999999996</v>
      </c>
      <c r="H261" s="139">
        <f t="shared" si="25"/>
        <v>0.97399999999999998</v>
      </c>
    </row>
    <row r="262" spans="2:8">
      <c r="B262" s="138">
        <f t="shared" si="21"/>
        <v>2.7099999999999862</v>
      </c>
      <c r="C262" s="139">
        <f t="shared" si="25"/>
        <v>0.71</v>
      </c>
      <c r="D262" s="139">
        <f t="shared" si="25"/>
        <v>0.82</v>
      </c>
      <c r="E262" s="139">
        <f t="shared" si="25"/>
        <v>0.89680000000000004</v>
      </c>
      <c r="F262" s="139">
        <f t="shared" si="25"/>
        <v>0.93519999999999992</v>
      </c>
      <c r="G262" s="139">
        <f t="shared" si="25"/>
        <v>0.95519999999999994</v>
      </c>
      <c r="H262" s="139">
        <f t="shared" si="25"/>
        <v>0.97519999999999996</v>
      </c>
    </row>
    <row r="263" spans="2:8">
      <c r="B263" s="138">
        <f t="shared" ref="B263:B291" si="26">B262+0.01</f>
        <v>2.719999999999986</v>
      </c>
      <c r="C263" s="139">
        <f t="shared" si="25"/>
        <v>0.71</v>
      </c>
      <c r="D263" s="139">
        <f t="shared" si="25"/>
        <v>0.82</v>
      </c>
      <c r="E263" s="139">
        <f t="shared" si="25"/>
        <v>0.89760000000000006</v>
      </c>
      <c r="F263" s="139">
        <f t="shared" si="25"/>
        <v>0.9363999999999999</v>
      </c>
      <c r="G263" s="139">
        <f t="shared" si="25"/>
        <v>0.95639999999999992</v>
      </c>
      <c r="H263" s="139">
        <f t="shared" si="25"/>
        <v>0.97639999999999993</v>
      </c>
    </row>
    <row r="264" spans="2:8">
      <c r="B264" s="138">
        <f t="shared" si="26"/>
        <v>2.7299999999999858</v>
      </c>
      <c r="C264" s="139">
        <f t="shared" si="25"/>
        <v>0.71</v>
      </c>
      <c r="D264" s="139">
        <f t="shared" si="25"/>
        <v>0.82</v>
      </c>
      <c r="E264" s="139">
        <f t="shared" si="25"/>
        <v>0.89839999999999998</v>
      </c>
      <c r="F264" s="139">
        <f t="shared" si="25"/>
        <v>0.93759999999999999</v>
      </c>
      <c r="G264" s="139">
        <f t="shared" si="25"/>
        <v>0.95760000000000001</v>
      </c>
      <c r="H264" s="139">
        <f t="shared" si="25"/>
        <v>0.97760000000000002</v>
      </c>
    </row>
    <row r="265" spans="2:8">
      <c r="B265" s="138">
        <f t="shared" si="26"/>
        <v>2.7399999999999856</v>
      </c>
      <c r="C265" s="143">
        <f t="shared" si="25"/>
        <v>0.71</v>
      </c>
      <c r="D265" s="143">
        <f t="shared" si="25"/>
        <v>0.82</v>
      </c>
      <c r="E265" s="143">
        <f t="shared" si="25"/>
        <v>0.8992</v>
      </c>
      <c r="F265" s="143">
        <f t="shared" si="25"/>
        <v>0.93879999999999997</v>
      </c>
      <c r="G265" s="143">
        <f t="shared" si="25"/>
        <v>0.95879999999999999</v>
      </c>
      <c r="H265" s="143">
        <f t="shared" si="25"/>
        <v>0.9788</v>
      </c>
    </row>
    <row r="266" spans="2:8">
      <c r="B266" s="134">
        <f t="shared" si="26"/>
        <v>2.7499999999999853</v>
      </c>
      <c r="C266" s="135">
        <v>0.71</v>
      </c>
      <c r="D266" s="141">
        <v>0.82</v>
      </c>
      <c r="E266" s="141">
        <v>0.9</v>
      </c>
      <c r="F266" s="141">
        <v>0.94</v>
      </c>
      <c r="G266" s="141">
        <v>0.96</v>
      </c>
      <c r="H266" s="141">
        <v>0.98</v>
      </c>
    </row>
    <row r="267" spans="2:8">
      <c r="B267" s="138">
        <f t="shared" si="26"/>
        <v>2.7599999999999851</v>
      </c>
      <c r="C267" s="142">
        <f t="shared" ref="C267:H267" si="27">C$266+(C$291-C$266)*($B267-$B$266)/($B$291-$B$266)</f>
        <v>0.71</v>
      </c>
      <c r="D267" s="142">
        <f t="shared" si="27"/>
        <v>0.82</v>
      </c>
      <c r="E267" s="142">
        <f t="shared" si="27"/>
        <v>0.90080000000000005</v>
      </c>
      <c r="F267" s="142">
        <f t="shared" si="27"/>
        <v>0.94079999999999997</v>
      </c>
      <c r="G267" s="142">
        <f t="shared" si="27"/>
        <v>0.96119999999999994</v>
      </c>
      <c r="H267" s="142">
        <f t="shared" si="27"/>
        <v>0.98119999999999996</v>
      </c>
    </row>
    <row r="268" spans="2:8">
      <c r="B268" s="138">
        <f t="shared" si="26"/>
        <v>2.7699999999999849</v>
      </c>
      <c r="C268" s="139">
        <f t="shared" ref="C268:H290" si="28">C$266+(C$291-C$266)*($B268-$B$266)/($B$291-$B$266)</f>
        <v>0.71</v>
      </c>
      <c r="D268" s="139">
        <f t="shared" si="28"/>
        <v>0.82</v>
      </c>
      <c r="E268" s="139">
        <f t="shared" si="28"/>
        <v>0.90160000000000007</v>
      </c>
      <c r="F268" s="139">
        <f t="shared" si="28"/>
        <v>0.94159999999999999</v>
      </c>
      <c r="G268" s="139">
        <f t="shared" si="28"/>
        <v>0.96239999999999992</v>
      </c>
      <c r="H268" s="139">
        <f t="shared" si="28"/>
        <v>0.98239999999999994</v>
      </c>
    </row>
    <row r="269" spans="2:8">
      <c r="B269" s="138">
        <f t="shared" si="26"/>
        <v>2.7799999999999847</v>
      </c>
      <c r="C269" s="139">
        <f t="shared" si="28"/>
        <v>0.71</v>
      </c>
      <c r="D269" s="139">
        <f t="shared" si="28"/>
        <v>0.82</v>
      </c>
      <c r="E269" s="139">
        <f t="shared" si="28"/>
        <v>0.90239999999999998</v>
      </c>
      <c r="F269" s="139">
        <f t="shared" si="28"/>
        <v>0.9423999999999999</v>
      </c>
      <c r="G269" s="139">
        <f t="shared" si="28"/>
        <v>0.96360000000000001</v>
      </c>
      <c r="H269" s="139">
        <f t="shared" si="28"/>
        <v>0.98360000000000003</v>
      </c>
    </row>
    <row r="270" spans="2:8">
      <c r="B270" s="138">
        <f t="shared" si="26"/>
        <v>2.7899999999999845</v>
      </c>
      <c r="C270" s="139">
        <f t="shared" si="28"/>
        <v>0.71</v>
      </c>
      <c r="D270" s="139">
        <f t="shared" si="28"/>
        <v>0.82</v>
      </c>
      <c r="E270" s="139">
        <f t="shared" si="28"/>
        <v>0.9032</v>
      </c>
      <c r="F270" s="139">
        <f t="shared" si="28"/>
        <v>0.94319999999999993</v>
      </c>
      <c r="G270" s="139">
        <f t="shared" si="28"/>
        <v>0.96479999999999999</v>
      </c>
      <c r="H270" s="139">
        <f t="shared" si="28"/>
        <v>0.98480000000000001</v>
      </c>
    </row>
    <row r="271" spans="2:8">
      <c r="B271" s="138">
        <f t="shared" si="26"/>
        <v>2.7999999999999843</v>
      </c>
      <c r="C271" s="139">
        <f t="shared" si="28"/>
        <v>0.71</v>
      </c>
      <c r="D271" s="139">
        <f t="shared" si="28"/>
        <v>0.82</v>
      </c>
      <c r="E271" s="139">
        <f t="shared" si="28"/>
        <v>0.90400000000000003</v>
      </c>
      <c r="F271" s="139">
        <f t="shared" si="28"/>
        <v>0.94399999999999995</v>
      </c>
      <c r="G271" s="139">
        <f t="shared" si="28"/>
        <v>0.96599999999999997</v>
      </c>
      <c r="H271" s="139">
        <f t="shared" si="28"/>
        <v>0.98599999999999999</v>
      </c>
    </row>
    <row r="272" spans="2:8">
      <c r="B272" s="138">
        <f t="shared" si="26"/>
        <v>2.8099999999999841</v>
      </c>
      <c r="C272" s="139">
        <f t="shared" si="28"/>
        <v>0.71</v>
      </c>
      <c r="D272" s="139">
        <f t="shared" si="28"/>
        <v>0.82</v>
      </c>
      <c r="E272" s="139">
        <f t="shared" si="28"/>
        <v>0.90480000000000005</v>
      </c>
      <c r="F272" s="139">
        <f t="shared" si="28"/>
        <v>0.94479999999999997</v>
      </c>
      <c r="G272" s="139">
        <f t="shared" si="28"/>
        <v>0.96719999999999995</v>
      </c>
      <c r="H272" s="139">
        <f t="shared" si="28"/>
        <v>0.98719999999999997</v>
      </c>
    </row>
    <row r="273" spans="2:8">
      <c r="B273" s="138">
        <f t="shared" si="26"/>
        <v>2.8199999999999839</v>
      </c>
      <c r="C273" s="139">
        <f t="shared" si="28"/>
        <v>0.71</v>
      </c>
      <c r="D273" s="139">
        <f t="shared" si="28"/>
        <v>0.82</v>
      </c>
      <c r="E273" s="139">
        <f t="shared" si="28"/>
        <v>0.90560000000000007</v>
      </c>
      <c r="F273" s="139">
        <f t="shared" si="28"/>
        <v>0.9456</v>
      </c>
      <c r="G273" s="139">
        <f t="shared" si="28"/>
        <v>0.96839999999999993</v>
      </c>
      <c r="H273" s="139">
        <f t="shared" si="28"/>
        <v>0.98839999999999995</v>
      </c>
    </row>
    <row r="274" spans="2:8">
      <c r="B274" s="138">
        <f t="shared" si="26"/>
        <v>2.8299999999999836</v>
      </c>
      <c r="C274" s="139">
        <f t="shared" si="28"/>
        <v>0.71</v>
      </c>
      <c r="D274" s="139">
        <f t="shared" si="28"/>
        <v>0.82</v>
      </c>
      <c r="E274" s="139">
        <f t="shared" si="28"/>
        <v>0.90639999999999998</v>
      </c>
      <c r="F274" s="139">
        <f t="shared" si="28"/>
        <v>0.94639999999999991</v>
      </c>
      <c r="G274" s="139">
        <f t="shared" si="28"/>
        <v>0.96960000000000002</v>
      </c>
      <c r="H274" s="139">
        <f t="shared" si="28"/>
        <v>0.98960000000000004</v>
      </c>
    </row>
    <row r="275" spans="2:8">
      <c r="B275" s="138">
        <f t="shared" si="26"/>
        <v>2.8399999999999834</v>
      </c>
      <c r="C275" s="139">
        <f t="shared" si="28"/>
        <v>0.71</v>
      </c>
      <c r="D275" s="139">
        <f t="shared" si="28"/>
        <v>0.82</v>
      </c>
      <c r="E275" s="139">
        <f t="shared" si="28"/>
        <v>0.90720000000000001</v>
      </c>
      <c r="F275" s="139">
        <f t="shared" si="28"/>
        <v>0.94719999999999993</v>
      </c>
      <c r="G275" s="139">
        <f t="shared" si="28"/>
        <v>0.9708</v>
      </c>
      <c r="H275" s="139">
        <f t="shared" si="28"/>
        <v>0.99080000000000001</v>
      </c>
    </row>
    <row r="276" spans="2:8">
      <c r="B276" s="138">
        <f t="shared" si="26"/>
        <v>2.8499999999999832</v>
      </c>
      <c r="C276" s="139">
        <f t="shared" si="28"/>
        <v>0.71</v>
      </c>
      <c r="D276" s="139">
        <f t="shared" si="28"/>
        <v>0.82</v>
      </c>
      <c r="E276" s="139">
        <f t="shared" si="28"/>
        <v>0.90800000000000003</v>
      </c>
      <c r="F276" s="139">
        <f t="shared" si="28"/>
        <v>0.94799999999999995</v>
      </c>
      <c r="G276" s="139">
        <f t="shared" si="28"/>
        <v>0.97199999999999998</v>
      </c>
      <c r="H276" s="139">
        <f t="shared" si="28"/>
        <v>0.99199999999999999</v>
      </c>
    </row>
    <row r="277" spans="2:8">
      <c r="B277" s="138">
        <f t="shared" si="26"/>
        <v>2.859999999999983</v>
      </c>
      <c r="C277" s="139">
        <f t="shared" si="28"/>
        <v>0.71</v>
      </c>
      <c r="D277" s="139">
        <f t="shared" si="28"/>
        <v>0.82</v>
      </c>
      <c r="E277" s="139">
        <f t="shared" si="28"/>
        <v>0.90880000000000005</v>
      </c>
      <c r="F277" s="139">
        <f t="shared" si="28"/>
        <v>0.94879999999999998</v>
      </c>
      <c r="G277" s="139">
        <f t="shared" si="28"/>
        <v>0.97319999999999995</v>
      </c>
      <c r="H277" s="139">
        <f t="shared" si="28"/>
        <v>0.99319999999999997</v>
      </c>
    </row>
    <row r="278" spans="2:8">
      <c r="B278" s="138">
        <f t="shared" si="26"/>
        <v>2.8699999999999828</v>
      </c>
      <c r="C278" s="139">
        <f t="shared" si="28"/>
        <v>0.71</v>
      </c>
      <c r="D278" s="139">
        <f t="shared" si="28"/>
        <v>0.82</v>
      </c>
      <c r="E278" s="139">
        <f t="shared" si="28"/>
        <v>0.90960000000000008</v>
      </c>
      <c r="F278" s="139">
        <f t="shared" si="28"/>
        <v>0.9496</v>
      </c>
      <c r="G278" s="139">
        <f t="shared" si="28"/>
        <v>0.97439999999999993</v>
      </c>
      <c r="H278" s="139">
        <f t="shared" si="28"/>
        <v>0.99439999999999995</v>
      </c>
    </row>
    <row r="279" spans="2:8">
      <c r="B279" s="138">
        <f t="shared" si="26"/>
        <v>2.8799999999999826</v>
      </c>
      <c r="C279" s="139">
        <f t="shared" si="28"/>
        <v>0.71</v>
      </c>
      <c r="D279" s="139">
        <f t="shared" si="28"/>
        <v>0.82</v>
      </c>
      <c r="E279" s="139">
        <f t="shared" si="28"/>
        <v>0.91039999999999999</v>
      </c>
      <c r="F279" s="139">
        <f t="shared" si="28"/>
        <v>0.95039999999999991</v>
      </c>
      <c r="G279" s="139">
        <f t="shared" si="28"/>
        <v>0.97560000000000002</v>
      </c>
      <c r="H279" s="139">
        <f t="shared" si="28"/>
        <v>0.99560000000000004</v>
      </c>
    </row>
    <row r="280" spans="2:8">
      <c r="B280" s="138">
        <f t="shared" si="26"/>
        <v>2.8899999999999824</v>
      </c>
      <c r="C280" s="139">
        <f t="shared" si="28"/>
        <v>0.71</v>
      </c>
      <c r="D280" s="139">
        <f t="shared" si="28"/>
        <v>0.82</v>
      </c>
      <c r="E280" s="139">
        <f t="shared" si="28"/>
        <v>0.91120000000000001</v>
      </c>
      <c r="F280" s="139">
        <f t="shared" si="28"/>
        <v>0.95119999999999993</v>
      </c>
      <c r="G280" s="139">
        <f t="shared" si="28"/>
        <v>0.9768</v>
      </c>
      <c r="H280" s="139">
        <f t="shared" si="28"/>
        <v>0.99680000000000002</v>
      </c>
    </row>
    <row r="281" spans="2:8">
      <c r="B281" s="138">
        <f t="shared" si="26"/>
        <v>2.8999999999999821</v>
      </c>
      <c r="C281" s="139">
        <f t="shared" si="28"/>
        <v>0.71</v>
      </c>
      <c r="D281" s="139">
        <f t="shared" si="28"/>
        <v>0.82</v>
      </c>
      <c r="E281" s="139">
        <f t="shared" si="28"/>
        <v>0.91200000000000003</v>
      </c>
      <c r="F281" s="139">
        <f t="shared" si="28"/>
        <v>0.95199999999999996</v>
      </c>
      <c r="G281" s="139">
        <f t="shared" si="28"/>
        <v>0.97799999999999998</v>
      </c>
      <c r="H281" s="139">
        <f t="shared" si="28"/>
        <v>0.998</v>
      </c>
    </row>
    <row r="282" spans="2:8">
      <c r="B282" s="138">
        <f t="shared" si="26"/>
        <v>2.9099999999999819</v>
      </c>
      <c r="C282" s="139">
        <f t="shared" si="28"/>
        <v>0.71</v>
      </c>
      <c r="D282" s="139">
        <f t="shared" si="28"/>
        <v>0.82</v>
      </c>
      <c r="E282" s="139">
        <f t="shared" si="28"/>
        <v>0.91280000000000006</v>
      </c>
      <c r="F282" s="139">
        <f t="shared" si="28"/>
        <v>0.95279999999999998</v>
      </c>
      <c r="G282" s="139">
        <f t="shared" si="28"/>
        <v>0.97919999999999996</v>
      </c>
      <c r="H282" s="139">
        <f t="shared" si="28"/>
        <v>0.99919999999999998</v>
      </c>
    </row>
    <row r="283" spans="2:8">
      <c r="B283" s="138">
        <f t="shared" si="26"/>
        <v>2.9199999999999817</v>
      </c>
      <c r="C283" s="139">
        <f t="shared" si="28"/>
        <v>0.71</v>
      </c>
      <c r="D283" s="139">
        <f t="shared" si="28"/>
        <v>0.82</v>
      </c>
      <c r="E283" s="139">
        <f t="shared" si="28"/>
        <v>0.91360000000000008</v>
      </c>
      <c r="F283" s="139">
        <f t="shared" si="28"/>
        <v>0.9536</v>
      </c>
      <c r="G283" s="139">
        <f t="shared" si="28"/>
        <v>0.98039999999999994</v>
      </c>
      <c r="H283" s="139">
        <f t="shared" si="28"/>
        <v>1.0004</v>
      </c>
    </row>
    <row r="284" spans="2:8">
      <c r="B284" s="138">
        <f t="shared" si="26"/>
        <v>2.9299999999999815</v>
      </c>
      <c r="C284" s="139">
        <f t="shared" si="28"/>
        <v>0.71</v>
      </c>
      <c r="D284" s="139">
        <f t="shared" si="28"/>
        <v>0.82</v>
      </c>
      <c r="E284" s="139">
        <f t="shared" si="28"/>
        <v>0.91439999999999999</v>
      </c>
      <c r="F284" s="139">
        <f t="shared" si="28"/>
        <v>0.95439999999999992</v>
      </c>
      <c r="G284" s="139">
        <f t="shared" si="28"/>
        <v>0.98160000000000003</v>
      </c>
      <c r="H284" s="139">
        <f t="shared" si="28"/>
        <v>1.0016</v>
      </c>
    </row>
    <row r="285" spans="2:8">
      <c r="B285" s="138">
        <f t="shared" si="26"/>
        <v>2.9399999999999813</v>
      </c>
      <c r="C285" s="139">
        <f t="shared" si="28"/>
        <v>0.71</v>
      </c>
      <c r="D285" s="139">
        <f t="shared" si="28"/>
        <v>0.82</v>
      </c>
      <c r="E285" s="139">
        <f t="shared" si="28"/>
        <v>0.91520000000000001</v>
      </c>
      <c r="F285" s="139">
        <f t="shared" si="28"/>
        <v>0.95519999999999994</v>
      </c>
      <c r="G285" s="139">
        <f t="shared" si="28"/>
        <v>0.98280000000000001</v>
      </c>
      <c r="H285" s="139">
        <f t="shared" si="28"/>
        <v>1.0027999999999999</v>
      </c>
    </row>
    <row r="286" spans="2:8">
      <c r="B286" s="138">
        <f t="shared" si="26"/>
        <v>2.9499999999999811</v>
      </c>
      <c r="C286" s="139">
        <f t="shared" si="28"/>
        <v>0.71</v>
      </c>
      <c r="D286" s="139">
        <f t="shared" si="28"/>
        <v>0.82</v>
      </c>
      <c r="E286" s="139">
        <f t="shared" si="28"/>
        <v>0.91600000000000004</v>
      </c>
      <c r="F286" s="139">
        <f t="shared" si="28"/>
        <v>0.95599999999999996</v>
      </c>
      <c r="G286" s="139">
        <f t="shared" si="28"/>
        <v>0.98399999999999999</v>
      </c>
      <c r="H286" s="139">
        <f t="shared" si="28"/>
        <v>1.004</v>
      </c>
    </row>
    <row r="287" spans="2:8">
      <c r="B287" s="138">
        <f t="shared" si="26"/>
        <v>2.9599999999999809</v>
      </c>
      <c r="C287" s="139">
        <f t="shared" si="28"/>
        <v>0.71</v>
      </c>
      <c r="D287" s="139">
        <f t="shared" si="28"/>
        <v>0.82</v>
      </c>
      <c r="E287" s="139">
        <f t="shared" si="28"/>
        <v>0.91680000000000006</v>
      </c>
      <c r="F287" s="139">
        <f t="shared" si="28"/>
        <v>0.95679999999999998</v>
      </c>
      <c r="G287" s="139">
        <f t="shared" si="28"/>
        <v>0.98519999999999996</v>
      </c>
      <c r="H287" s="139">
        <f t="shared" si="28"/>
        <v>1.0052000000000001</v>
      </c>
    </row>
    <row r="288" spans="2:8">
      <c r="B288" s="138">
        <f t="shared" si="26"/>
        <v>2.9699999999999807</v>
      </c>
      <c r="C288" s="139">
        <f t="shared" si="28"/>
        <v>0.71</v>
      </c>
      <c r="D288" s="139">
        <f t="shared" si="28"/>
        <v>0.82</v>
      </c>
      <c r="E288" s="139">
        <f t="shared" si="28"/>
        <v>0.91760000000000008</v>
      </c>
      <c r="F288" s="139">
        <f t="shared" si="28"/>
        <v>0.95760000000000001</v>
      </c>
      <c r="G288" s="139">
        <f t="shared" si="28"/>
        <v>0.98639999999999994</v>
      </c>
      <c r="H288" s="139">
        <f t="shared" si="28"/>
        <v>1.0064</v>
      </c>
    </row>
    <row r="289" spans="2:8">
      <c r="B289" s="138">
        <f t="shared" si="26"/>
        <v>2.9799999999999804</v>
      </c>
      <c r="C289" s="139">
        <f t="shared" si="28"/>
        <v>0.71</v>
      </c>
      <c r="D289" s="139">
        <f t="shared" si="28"/>
        <v>0.82</v>
      </c>
      <c r="E289" s="139">
        <f t="shared" si="28"/>
        <v>0.91839999999999999</v>
      </c>
      <c r="F289" s="139">
        <f t="shared" si="28"/>
        <v>0.95839999999999992</v>
      </c>
      <c r="G289" s="139">
        <f t="shared" si="28"/>
        <v>0.98760000000000003</v>
      </c>
      <c r="H289" s="139">
        <f t="shared" si="28"/>
        <v>1.0076000000000001</v>
      </c>
    </row>
    <row r="290" spans="2:8">
      <c r="B290" s="138">
        <f t="shared" si="26"/>
        <v>2.9899999999999802</v>
      </c>
      <c r="C290" s="143">
        <f t="shared" si="28"/>
        <v>0.71</v>
      </c>
      <c r="D290" s="143">
        <f t="shared" si="28"/>
        <v>0.82</v>
      </c>
      <c r="E290" s="143">
        <f t="shared" si="28"/>
        <v>0.91920000000000002</v>
      </c>
      <c r="F290" s="143">
        <f t="shared" si="28"/>
        <v>0.95919999999999994</v>
      </c>
      <c r="G290" s="143">
        <f t="shared" si="28"/>
        <v>0.98880000000000001</v>
      </c>
      <c r="H290" s="143">
        <f t="shared" si="28"/>
        <v>1.0087999999999999</v>
      </c>
    </row>
    <row r="291" spans="2:8">
      <c r="B291" s="134">
        <f t="shared" si="26"/>
        <v>2.99999999999998</v>
      </c>
      <c r="C291" s="135">
        <v>0.71</v>
      </c>
      <c r="D291" s="141">
        <v>0.82</v>
      </c>
      <c r="E291" s="141">
        <v>0.92</v>
      </c>
      <c r="F291" s="141">
        <v>0.96</v>
      </c>
      <c r="G291" s="141">
        <v>0.99</v>
      </c>
      <c r="H291" s="141">
        <v>1.01</v>
      </c>
    </row>
  </sheetData>
  <customSheetViews>
    <customSheetView guid="{3E488D02-432F-45E5-90FE-5CD6FBA7363A}" scale="124" showPageBreaks="1" view="pageBreakPreview">
      <selection activeCell="K8" sqref="K8"/>
      <pageMargins left="0.75" right="0.75" top="1" bottom="1" header="0.5" footer="0.5"/>
      <pageSetup paperSize="9" orientation="portrait" r:id="rId1"/>
      <headerFooter alignWithMargins="0"/>
    </customSheetView>
    <customSheetView guid="{4C8449F4-FC56-4876-869E-F955C2C5C3AD}" scale="124" showPageBreaks="1" view="pageBreakPreview">
      <selection activeCell="K8" sqref="K8"/>
      <pageMargins left="0.75" right="0.75" top="1" bottom="1" header="0.5" footer="0.5"/>
      <pageSetup paperSize="9" orientation="portrait" r:id="rId2"/>
      <headerFooter alignWithMargins="0"/>
    </customSheetView>
    <customSheetView guid="{473AD2C1-50BF-11D4-AB98-94419A57BB4E}" showRuler="0">
      <pageMargins left="0.75" right="0.75" top="1" bottom="1" header="0.5" footer="0.5"/>
      <headerFooter alignWithMargins="0"/>
    </customSheetView>
    <customSheetView guid="{98368B2C-A6FC-4203-B15D-14B77BE18A81}">
      <selection activeCell="K8" sqref="K8"/>
      <pageMargins left="0.75" right="0.75" top="1" bottom="1" header="0.5" footer="0.5"/>
      <headerFooter alignWithMargins="0"/>
    </customSheetView>
    <customSheetView guid="{406DF1FF-9BFC-4168-AE00-7162E8A7C8EF}">
      <selection activeCell="K8" sqref="K8"/>
      <pageMargins left="0.75" right="0.75" top="1" bottom="1" header="0.5" footer="0.5"/>
      <headerFooter alignWithMargins="0"/>
    </customSheetView>
    <customSheetView guid="{8CD552DE-766B-42EA-A3A9-EF771D2E49CF}" scale="124" showPageBreaks="1" view="pageBreakPreview" topLeftCell="A8">
      <selection activeCell="K8" sqref="K8"/>
      <pageMargins left="0.75" right="0.75" top="1" bottom="1" header="0.5" footer="0.5"/>
      <pageSetup paperSize="9" orientation="portrait" r:id="rId3"/>
      <headerFooter alignWithMargins="0"/>
    </customSheetView>
    <customSheetView guid="{9CE232CD-A92E-403C-887B-19AF1B853CD5}" scale="124" showPageBreaks="1" view="pageBreakPreview">
      <selection activeCell="K8" sqref="K8"/>
      <pageMargins left="0.75" right="0.75" top="1" bottom="1" header="0.5" footer="0.5"/>
      <pageSetup paperSize="9" orientation="portrait" r:id="rId4"/>
      <headerFooter alignWithMargins="0"/>
    </customSheetView>
    <customSheetView guid="{6A6F7507-5F1B-4B90-A3F8-107D205DF2BA}" scale="124" showPageBreaks="1" view="pageBreakPreview">
      <selection activeCell="K8" sqref="K8"/>
      <pageMargins left="0.75" right="0.75" top="1" bottom="1" header="0.5" footer="0.5"/>
      <pageSetup paperSize="9" orientation="portrait" r:id="rId5"/>
      <headerFooter alignWithMargins="0"/>
    </customSheetView>
  </customSheetViews>
  <mergeCells count="5">
    <mergeCell ref="I9:J9"/>
    <mergeCell ref="C4:H4"/>
    <mergeCell ref="B3:B5"/>
    <mergeCell ref="B1:H1"/>
    <mergeCell ref="C2:H2"/>
  </mergeCells>
  <phoneticPr fontId="0" type="noConversion"/>
  <pageMargins left="0.75" right="0.75" top="1" bottom="1" header="0.5" footer="0.5"/>
  <pageSetup paperSize="9" orientation="portrait" r:id="rId6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57</vt:i4>
      </vt:variant>
    </vt:vector>
  </HeadingPairs>
  <TitlesOfParts>
    <vt:vector size="69" baseType="lpstr">
      <vt:lpstr>Design of Slab</vt:lpstr>
      <vt:lpstr>Default values</vt:lpstr>
      <vt:lpstr>Costing</vt:lpstr>
      <vt:lpstr>Support Index</vt:lpstr>
      <vt:lpstr>Checks</vt:lpstr>
      <vt:lpstr>ShearCheck</vt:lpstr>
      <vt:lpstr>Crackwidth</vt:lpstr>
      <vt:lpstr>Actual deflection</vt:lpstr>
      <vt:lpstr>Deflection control</vt:lpstr>
      <vt:lpstr>Backup cal for Mul &amp; Xul</vt:lpstr>
      <vt:lpstr>Moment Coeff</vt:lpstr>
      <vt:lpstr>Table-19</vt:lpstr>
      <vt:lpstr>actualshearstress</vt:lpstr>
      <vt:lpstr>Ast</vt:lpstr>
      <vt:lpstr>Ast_ln_span</vt:lpstr>
      <vt:lpstr>Ast_ln_supp</vt:lpstr>
      <vt:lpstr>Ast_sh_span</vt:lpstr>
      <vt:lpstr>Ast_sh_supp</vt:lpstr>
      <vt:lpstr>astmin</vt:lpstr>
      <vt:lpstr>b</vt:lpstr>
      <vt:lpstr>Check</vt:lpstr>
      <vt:lpstr>Condition</vt:lpstr>
      <vt:lpstr>cover</vt:lpstr>
      <vt:lpstr>d</vt:lpstr>
      <vt:lpstr>deff</vt:lpstr>
      <vt:lpstr>deff_1</vt:lpstr>
      <vt:lpstr>deff_2</vt:lpstr>
      <vt:lpstr>deff_3</vt:lpstr>
      <vt:lpstr>deff_4</vt:lpstr>
      <vt:lpstr>density</vt:lpstr>
      <vt:lpstr>DL</vt:lpstr>
      <vt:lpstr>dreqd</vt:lpstr>
      <vt:lpstr>Ec</vt:lpstr>
      <vt:lpstr>Es</vt:lpstr>
      <vt:lpstr>fck</vt:lpstr>
      <vt:lpstr>fs</vt:lpstr>
      <vt:lpstr>fy</vt:lpstr>
      <vt:lpstr>Icr</vt:lpstr>
      <vt:lpstr>Ie</vt:lpstr>
      <vt:lpstr>Ig</vt:lpstr>
      <vt:lpstr>K</vt:lpstr>
      <vt:lpstr>LL</vt:lpstr>
      <vt:lpstr>Lx</vt:lpstr>
      <vt:lpstr>Ly</vt:lpstr>
      <vt:lpstr>m</vt:lpstr>
      <vt:lpstr>MF</vt:lpstr>
      <vt:lpstr>Mu_ln_span</vt:lpstr>
      <vt:lpstr>Mu_ln_supp</vt:lpstr>
      <vt:lpstr>Mu_sh_span</vt:lpstr>
      <vt:lpstr>Mu_sh_supp</vt:lpstr>
      <vt:lpstr>Mul</vt:lpstr>
      <vt:lpstr>Mumax</vt:lpstr>
      <vt:lpstr>'Design of Slab'!Print_Area</vt:lpstr>
      <vt:lpstr>pt_ln_sp</vt:lpstr>
      <vt:lpstr>pt_ln_sup</vt:lpstr>
      <vt:lpstr>pt_s_sp</vt:lpstr>
      <vt:lpstr>pt_s_sup</vt:lpstr>
      <vt:lpstr>ratio</vt:lpstr>
      <vt:lpstr>Remarks</vt:lpstr>
      <vt:lpstr>shearpt</vt:lpstr>
      <vt:lpstr>spanbydepth</vt:lpstr>
      <vt:lpstr>T</vt:lpstr>
      <vt:lpstr>Tauc</vt:lpstr>
      <vt:lpstr>Vu</vt:lpstr>
      <vt:lpstr>w</vt:lpstr>
      <vt:lpstr>Wult</vt:lpstr>
      <vt:lpstr>xu</vt:lpstr>
      <vt:lpstr>xul</vt:lpstr>
      <vt:lpstr>xul_coeff</vt:lpstr>
    </vt:vector>
  </TitlesOfParts>
  <Company>Vanguard Consulting Engineers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mohd umair</cp:lastModifiedBy>
  <cp:lastPrinted>2012-05-02T05:55:47Z</cp:lastPrinted>
  <dcterms:created xsi:type="dcterms:W3CDTF">2005-07-01T05:11:54Z</dcterms:created>
  <dcterms:modified xsi:type="dcterms:W3CDTF">2025-02-04T17:16:34Z</dcterms:modified>
</cp:coreProperties>
</file>